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60\技術部・設計部\積算用ＣＡＤ\は行\ふ\古居徹朗様・古居百恵様\【設計原価・資料】\"/>
    </mc:Choice>
  </mc:AlternateContent>
  <xr:revisionPtr revIDLastSave="0" documentId="13_ncr:1_{37AEB40E-A663-4F05-991C-E28CA7F297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表紙" sheetId="21" r:id="rId1"/>
    <sheet name="明細書" sheetId="19" r:id="rId2"/>
    <sheet name="見積金額構成比率" sheetId="23" r:id="rId3"/>
    <sheet name="データ" sheetId="13" r:id="rId4"/>
    <sheet name="条件" sheetId="20" r:id="rId5"/>
    <sheet name="粗利表" sheetId="24" r:id="rId6"/>
  </sheets>
  <definedNames>
    <definedName name="_xlnm._FilterDatabase" localSheetId="3" hidden="1">データ!$A$1:$N$1</definedName>
    <definedName name="_xlnm.Print_Area" localSheetId="5">粗利表!$A$1:$I$40</definedName>
    <definedName name="_xlnm.Print_Area" localSheetId="0">表紙!$A$2:$AO$28</definedName>
    <definedName name="_xlnm.Print_Titles" localSheetId="1">明細書!$1:$1</definedName>
    <definedName name="データ計算式">データ!$S$1</definedName>
    <definedName name="データ計算式数式">データ!$T$1</definedName>
    <definedName name="データ計算数量">データ!$R$1</definedName>
    <definedName name="データ建設資機材コード" localSheetId="3">データ!$L$1</definedName>
    <definedName name="データ建設資機材コード">データ!$L$1</definedName>
    <definedName name="データ見積単価" localSheetId="3">データ!$H$1</definedName>
    <definedName name="データ見積単価">データ!$H$1</definedName>
    <definedName name="データ子" localSheetId="3">データ!$B$1</definedName>
    <definedName name="データ子">データ!$B$1</definedName>
    <definedName name="データ自動数量">データ!$R$1</definedName>
    <definedName name="データ親" localSheetId="3">データ!$A$1</definedName>
    <definedName name="データ親">データ!$A$1</definedName>
    <definedName name="データ数量" localSheetId="3">データ!$F$1</definedName>
    <definedName name="データ数量">データ!$F$1</definedName>
    <definedName name="データ単位" localSheetId="3">データ!$G$1</definedName>
    <definedName name="データ単位">データ!$G$1</definedName>
    <definedName name="データ通" localSheetId="3">データ!$C$1</definedName>
    <definedName name="データ通">データ!$C$1</definedName>
    <definedName name="データ定価" localSheetId="3">データ!$J$1</definedName>
    <definedName name="データ定価">データ!$J$1</definedName>
    <definedName name="データ摘要" localSheetId="3">データ!$E$1</definedName>
    <definedName name="データ摘要">データ!$E$1</definedName>
    <definedName name="データ発注コード" localSheetId="3">データ!$N$1</definedName>
    <definedName name="データ発注コード">データ!$N$1</definedName>
    <definedName name="データ発注単価" localSheetId="3">データ!$I$1</definedName>
    <definedName name="データ発注単価">データ!$I$1</definedName>
    <definedName name="データ備考" localSheetId="3">データ!$O$1</definedName>
    <definedName name="データ備考">データ!$O$1</definedName>
    <definedName name="データ部位">データ!$P$1</definedName>
    <definedName name="データ部材コード" localSheetId="3">データ!$K$1</definedName>
    <definedName name="データ部材コード">データ!$K$1</definedName>
    <definedName name="データ補給率">データ!$Q$1</definedName>
    <definedName name="データ名称" localSheetId="3">データ!$D$1</definedName>
    <definedName name="データ名称">データ!$D$1</definedName>
    <definedName name="データ要素コード" localSheetId="3">データ!$M$1</definedName>
    <definedName name="データ要素コード">データ!$M$1</definedName>
    <definedName name="ワークファイルパス">条件!$C$3</definedName>
    <definedName name="見積金額" localSheetId="5">#REF!</definedName>
    <definedName name="見積金額" localSheetId="1">明細書!$G$1</definedName>
    <definedName name="見積金額">#REF!</definedName>
    <definedName name="見積数量" localSheetId="5">#REF!</definedName>
    <definedName name="見積数量" localSheetId="1">明細書!$D$1</definedName>
    <definedName name="見積数量">#REF!</definedName>
    <definedName name="見積単価" localSheetId="5">#REF!</definedName>
    <definedName name="見積単価" localSheetId="1">明細書!$F$1</definedName>
    <definedName name="見積単価">#REF!</definedName>
    <definedName name="条件延床面積">条件!$E$14</definedName>
    <definedName name="条件延床面積坪">条件!$E$15</definedName>
    <definedName name="条件会社FAX">条件!$H$16</definedName>
    <definedName name="条件会社MAIL">条件!$H$18</definedName>
    <definedName name="条件会社TEL">条件!$H$15</definedName>
    <definedName name="条件会社URL">条件!$H$17</definedName>
    <definedName name="条件会社事業所名">条件!$H$11</definedName>
    <definedName name="条件会社住所１">条件!$H$13</definedName>
    <definedName name="条件会社住所２">条件!$H$14</definedName>
    <definedName name="条件会社名">条件!$H$10</definedName>
    <definedName name="条件会社郵便番号">条件!$H$12</definedName>
    <definedName name="条件金額まるめ">条件!$E$16</definedName>
    <definedName name="条件経費行書式">条件!$E$27</definedName>
    <definedName name="条件見積金額合計" localSheetId="4">条件!$E$17</definedName>
    <definedName name="条件見積金額合計">条件!$E$11</definedName>
    <definedName name="条件工事種別">条件!$E$12</definedName>
    <definedName name="条件工事場所">条件!$E$11</definedName>
    <definedName name="条件工事名称" localSheetId="4">条件!$E$10</definedName>
    <definedName name="条件工事名称">条件!$E$10</definedName>
    <definedName name="条件合計書式" localSheetId="4">条件!$E$7</definedName>
    <definedName name="条件合計書式">条件!$E$7</definedName>
    <definedName name="条件施主氏名">条件!$E$13</definedName>
    <definedName name="条件消費税">条件!$E$18</definedName>
    <definedName name="条件消費税まるめ">条件!$E$24</definedName>
    <definedName name="条件消費税書式" localSheetId="4">条件!$E$22</definedName>
    <definedName name="条件消費税書式">条件!$E$19</definedName>
    <definedName name="条件消費税率" localSheetId="4">条件!$E$23</definedName>
    <definedName name="条件消費税率">条件!$E$20</definedName>
    <definedName name="条件明細数" localSheetId="4">条件!$E$4</definedName>
    <definedName name="条件明細数">条件!$E$4</definedName>
    <definedName name="単位" localSheetId="5">#REF!</definedName>
    <definedName name="単位" localSheetId="1">明細書!$E$1</definedName>
    <definedName name="単位">#REF!</definedName>
    <definedName name="摘要" localSheetId="5">#REF!</definedName>
    <definedName name="摘要" localSheetId="1">明細書!$C$1</definedName>
    <definedName name="摘要">#REF!</definedName>
    <definedName name="表紙見積金額合計" localSheetId="5">#REF!</definedName>
    <definedName name="表紙見積金額合計" localSheetId="0">表紙!$M$14</definedName>
    <definedName name="表紙見積金額合計">#REF!</definedName>
    <definedName name="表紙工事名称" localSheetId="5">#REF!</definedName>
    <definedName name="表紙工事名称" localSheetId="0">表紙!#REF!</definedName>
    <definedName name="表紙工事名称">#REF!</definedName>
    <definedName name="表紙消費税">表紙!$P$16</definedName>
    <definedName name="表示工事種別">表紙!$T$23</definedName>
    <definedName name="表示工事場所">表紙!$G$20</definedName>
    <definedName name="表示工事名称">表紙!$G$19</definedName>
    <definedName name="部位">データ!$P$1</definedName>
    <definedName name="名称" localSheetId="5">#REF!</definedName>
    <definedName name="名称" localSheetId="1">明細書!$B$1</definedName>
    <definedName name="名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4" l="1"/>
  <c r="G28" i="24"/>
  <c r="F28" i="24"/>
  <c r="F31" i="24"/>
  <c r="H30" i="24"/>
  <c r="I30" i="24" s="1"/>
  <c r="H27" i="24"/>
  <c r="I27" i="24" s="1"/>
  <c r="F25" i="19"/>
  <c r="G721" i="19"/>
  <c r="G705" i="19"/>
  <c r="G704" i="19"/>
  <c r="F24" i="19"/>
  <c r="G701" i="19"/>
  <c r="G686" i="19"/>
  <c r="G685" i="19"/>
  <c r="G684" i="19"/>
  <c r="F22" i="19"/>
  <c r="G681" i="19"/>
  <c r="G667" i="19"/>
  <c r="G666" i="19"/>
  <c r="G665" i="19"/>
  <c r="G664" i="19"/>
  <c r="F21" i="19"/>
  <c r="G661" i="19"/>
  <c r="G644" i="19"/>
  <c r="G641" i="19"/>
  <c r="F20" i="19" s="1"/>
  <c r="G20" i="19" s="1"/>
  <c r="G624" i="19"/>
  <c r="G621" i="19"/>
  <c r="F19" i="19" s="1"/>
  <c r="G19" i="19" s="1"/>
  <c r="G608" i="19"/>
  <c r="G607" i="19"/>
  <c r="G605" i="19"/>
  <c r="G604" i="19"/>
  <c r="F18" i="19"/>
  <c r="G601" i="19"/>
  <c r="G589" i="19"/>
  <c r="G588" i="19"/>
  <c r="G587" i="19"/>
  <c r="G586" i="19"/>
  <c r="G585" i="19"/>
  <c r="G584" i="19"/>
  <c r="G581" i="19"/>
  <c r="F17" i="19" s="1"/>
  <c r="G17" i="19" s="1"/>
  <c r="G570" i="19"/>
  <c r="G569" i="19"/>
  <c r="G568" i="19"/>
  <c r="G567" i="19"/>
  <c r="G566" i="19"/>
  <c r="G565" i="19"/>
  <c r="G564" i="19"/>
  <c r="G563" i="19"/>
  <c r="G562" i="19"/>
  <c r="G561" i="19"/>
  <c r="G560" i="19"/>
  <c r="G559" i="19"/>
  <c r="G558" i="19"/>
  <c r="G557" i="19"/>
  <c r="G556" i="19"/>
  <c r="G555" i="19"/>
  <c r="G554" i="19"/>
  <c r="G553" i="19"/>
  <c r="G552" i="19"/>
  <c r="G551" i="19"/>
  <c r="G550" i="19"/>
  <c r="G549" i="19"/>
  <c r="G548" i="19"/>
  <c r="G547" i="19"/>
  <c r="G546" i="19"/>
  <c r="G545" i="19"/>
  <c r="G544" i="19"/>
  <c r="F16" i="19"/>
  <c r="G541" i="19"/>
  <c r="G524" i="19"/>
  <c r="F15" i="19"/>
  <c r="G521" i="19"/>
  <c r="G514" i="19"/>
  <c r="G513" i="19"/>
  <c r="G512" i="19"/>
  <c r="G511" i="19"/>
  <c r="G510" i="19"/>
  <c r="G509" i="19"/>
  <c r="G508" i="19"/>
  <c r="G507" i="19"/>
  <c r="G506" i="19"/>
  <c r="G505" i="19"/>
  <c r="G504" i="19"/>
  <c r="F14" i="19"/>
  <c r="G501" i="19"/>
  <c r="G487" i="19"/>
  <c r="G486" i="19"/>
  <c r="G485" i="19"/>
  <c r="G484" i="19"/>
  <c r="F13" i="19"/>
  <c r="G481" i="19"/>
  <c r="G464" i="19"/>
  <c r="F12" i="19"/>
  <c r="G461" i="19"/>
  <c r="G444" i="19"/>
  <c r="G427" i="19"/>
  <c r="G426" i="19"/>
  <c r="G425" i="19"/>
  <c r="G424" i="19"/>
  <c r="G441" i="19" s="1"/>
  <c r="F404" i="19" s="1"/>
  <c r="G404" i="19" s="1"/>
  <c r="G421" i="19" s="1"/>
  <c r="F11" i="19" s="1"/>
  <c r="G11" i="19" s="1"/>
  <c r="G405" i="19"/>
  <c r="F10" i="19"/>
  <c r="G401" i="19"/>
  <c r="G389" i="19"/>
  <c r="G388" i="19"/>
  <c r="G387" i="19"/>
  <c r="G386" i="19"/>
  <c r="G385" i="19"/>
  <c r="G384" i="19"/>
  <c r="F9" i="19"/>
  <c r="G381" i="19"/>
  <c r="G379" i="19"/>
  <c r="G378" i="19"/>
  <c r="G377" i="19"/>
  <c r="G376" i="19"/>
  <c r="G375" i="19"/>
  <c r="G374" i="19"/>
  <c r="G373" i="19"/>
  <c r="G372" i="19"/>
  <c r="G371" i="19"/>
  <c r="G370" i="19"/>
  <c r="G369" i="19"/>
  <c r="G368" i="19"/>
  <c r="G367" i="19"/>
  <c r="G366" i="19"/>
  <c r="G365" i="19"/>
  <c r="G364" i="19"/>
  <c r="F8" i="19"/>
  <c r="G361" i="19"/>
  <c r="G353" i="19"/>
  <c r="G352" i="19"/>
  <c r="G351" i="19"/>
  <c r="G350" i="19"/>
  <c r="G349" i="19"/>
  <c r="G348" i="19"/>
  <c r="G347" i="19"/>
  <c r="G346" i="19"/>
  <c r="G345" i="19"/>
  <c r="G344" i="19"/>
  <c r="F7" i="19"/>
  <c r="G341" i="19"/>
  <c r="G326" i="19"/>
  <c r="G325" i="19"/>
  <c r="G324" i="19"/>
  <c r="F6" i="19"/>
  <c r="G321" i="19"/>
  <c r="G305" i="19"/>
  <c r="G304" i="19"/>
  <c r="G288" i="19"/>
  <c r="G287" i="19"/>
  <c r="G286" i="19"/>
  <c r="G301" i="19" s="1"/>
  <c r="F245" i="19" s="1"/>
  <c r="G245" i="19" s="1"/>
  <c r="G285" i="19"/>
  <c r="G284" i="19"/>
  <c r="G267" i="19"/>
  <c r="G266" i="19"/>
  <c r="G265" i="19"/>
  <c r="G264" i="19"/>
  <c r="G281" i="19" s="1"/>
  <c r="F244" i="19" s="1"/>
  <c r="G244" i="19" s="1"/>
  <c r="G248" i="19"/>
  <c r="G247" i="19"/>
  <c r="G246" i="19"/>
  <c r="G230" i="19"/>
  <c r="G229" i="19"/>
  <c r="G228" i="19"/>
  <c r="G227" i="19"/>
  <c r="G226" i="19"/>
  <c r="G225" i="19"/>
  <c r="G224" i="19"/>
  <c r="G223" i="19"/>
  <c r="G222" i="19"/>
  <c r="G221" i="19"/>
  <c r="G220" i="19"/>
  <c r="G219" i="19"/>
  <c r="G218" i="19"/>
  <c r="G217" i="19"/>
  <c r="G216" i="19"/>
  <c r="G215" i="19"/>
  <c r="G214" i="19"/>
  <c r="G213" i="19"/>
  <c r="G212" i="19"/>
  <c r="G211" i="19"/>
  <c r="G210" i="19"/>
  <c r="G209" i="19"/>
  <c r="G208" i="19"/>
  <c r="G207" i="19"/>
  <c r="G206" i="19"/>
  <c r="G205" i="19"/>
  <c r="G204" i="19"/>
  <c r="G241" i="19" s="1"/>
  <c r="F106" i="19" s="1"/>
  <c r="G106" i="19" s="1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201" i="19" s="1"/>
  <c r="F105" i="19" s="1"/>
  <c r="G105" i="19" s="1"/>
  <c r="G121" i="19" s="1"/>
  <c r="F4" i="19" s="1"/>
  <c r="G4" i="19" s="1"/>
  <c r="G148" i="19"/>
  <c r="G147" i="19"/>
  <c r="G146" i="19"/>
  <c r="G145" i="19"/>
  <c r="G144" i="19"/>
  <c r="G131" i="19"/>
  <c r="G130" i="19"/>
  <c r="G129" i="19"/>
  <c r="G128" i="19"/>
  <c r="G127" i="19"/>
  <c r="G141" i="19" s="1"/>
  <c r="F104" i="19" s="1"/>
  <c r="G104" i="19" s="1"/>
  <c r="G126" i="19"/>
  <c r="G125" i="19"/>
  <c r="G124" i="19"/>
  <c r="G109" i="19"/>
  <c r="G108" i="19"/>
  <c r="G107" i="19"/>
  <c r="G101" i="19"/>
  <c r="F3" i="19" s="1"/>
  <c r="G3" i="19" s="1"/>
  <c r="G90" i="19"/>
  <c r="G89" i="19"/>
  <c r="G88" i="19"/>
  <c r="G87" i="19"/>
  <c r="G86" i="19"/>
  <c r="G85" i="19"/>
  <c r="G84" i="19"/>
  <c r="G67" i="19"/>
  <c r="G66" i="19"/>
  <c r="G65" i="19"/>
  <c r="G64" i="19"/>
  <c r="G81" i="19" s="1"/>
  <c r="F44" i="19" s="1"/>
  <c r="G44" i="19" s="1"/>
  <c r="G61" i="19" s="1"/>
  <c r="F2" i="19" s="1"/>
  <c r="G2" i="19" s="1"/>
  <c r="G48" i="19"/>
  <c r="G47" i="19"/>
  <c r="G46" i="19"/>
  <c r="G45" i="19"/>
  <c r="G25" i="19"/>
  <c r="G24" i="19"/>
  <c r="G22" i="19"/>
  <c r="G21" i="19"/>
  <c r="G18" i="19"/>
  <c r="G16" i="19"/>
  <c r="G15" i="19"/>
  <c r="G14" i="19"/>
  <c r="G13" i="19"/>
  <c r="G12" i="19"/>
  <c r="G10" i="19"/>
  <c r="G9" i="19"/>
  <c r="G8" i="19"/>
  <c r="G7" i="19"/>
  <c r="G6" i="19"/>
  <c r="E3" i="21"/>
  <c r="AF6" i="21"/>
  <c r="AF5" i="21"/>
  <c r="AE22" i="21"/>
  <c r="AE21" i="21"/>
  <c r="AB21" i="21" s="1"/>
  <c r="G261" i="19" l="1"/>
  <c r="F5" i="19" s="1"/>
  <c r="G5" i="19" s="1"/>
  <c r="G23" i="19" s="1"/>
  <c r="H29" i="24"/>
  <c r="I29" i="24" s="1"/>
  <c r="B4" i="24"/>
  <c r="C4" i="24"/>
  <c r="D4" i="24"/>
  <c r="E4" i="24"/>
  <c r="F4" i="24"/>
  <c r="G4" i="24"/>
  <c r="B5" i="24"/>
  <c r="C5" i="24"/>
  <c r="D5" i="24"/>
  <c r="E5" i="24"/>
  <c r="F5" i="24"/>
  <c r="G5" i="24"/>
  <c r="B6" i="24"/>
  <c r="C6" i="24"/>
  <c r="D6" i="24"/>
  <c r="E6" i="24"/>
  <c r="F6" i="24"/>
  <c r="G6" i="24"/>
  <c r="B7" i="24"/>
  <c r="C7" i="24"/>
  <c r="D7" i="24"/>
  <c r="E7" i="24"/>
  <c r="F7" i="24"/>
  <c r="G7" i="24"/>
  <c r="B8" i="24"/>
  <c r="C8" i="24"/>
  <c r="D8" i="24"/>
  <c r="E8" i="24"/>
  <c r="F8" i="24"/>
  <c r="G8" i="24"/>
  <c r="B9" i="24"/>
  <c r="C9" i="24"/>
  <c r="D9" i="24"/>
  <c r="E9" i="24"/>
  <c r="F9" i="24"/>
  <c r="G9" i="24"/>
  <c r="B10" i="24"/>
  <c r="C10" i="24"/>
  <c r="D10" i="24"/>
  <c r="E10" i="24"/>
  <c r="F10" i="24"/>
  <c r="G10" i="24"/>
  <c r="B11" i="24"/>
  <c r="C11" i="24"/>
  <c r="D11" i="24"/>
  <c r="E11" i="24"/>
  <c r="F11" i="24"/>
  <c r="G11" i="24"/>
  <c r="B12" i="24"/>
  <c r="C12" i="24"/>
  <c r="D12" i="24"/>
  <c r="E12" i="24"/>
  <c r="F12" i="24"/>
  <c r="G12" i="24"/>
  <c r="B13" i="24"/>
  <c r="C13" i="24"/>
  <c r="D13" i="24"/>
  <c r="E13" i="24"/>
  <c r="F13" i="24"/>
  <c r="G13" i="24"/>
  <c r="B14" i="24"/>
  <c r="C14" i="24"/>
  <c r="D14" i="24"/>
  <c r="E14" i="24"/>
  <c r="F14" i="24"/>
  <c r="G14" i="24"/>
  <c r="B15" i="24"/>
  <c r="C15" i="24"/>
  <c r="D15" i="24"/>
  <c r="E15" i="24"/>
  <c r="F15" i="24"/>
  <c r="G15" i="24"/>
  <c r="B16" i="24"/>
  <c r="C16" i="24"/>
  <c r="D16" i="24"/>
  <c r="E16" i="24"/>
  <c r="F16" i="24"/>
  <c r="G16" i="24"/>
  <c r="B17" i="24"/>
  <c r="C17" i="24"/>
  <c r="D17" i="24"/>
  <c r="E17" i="24"/>
  <c r="F17" i="24"/>
  <c r="G17" i="24"/>
  <c r="B18" i="24"/>
  <c r="C18" i="24"/>
  <c r="D18" i="24"/>
  <c r="E18" i="24"/>
  <c r="F18" i="24"/>
  <c r="G18" i="24"/>
  <c r="B19" i="24"/>
  <c r="C19" i="24"/>
  <c r="D19" i="24"/>
  <c r="E19" i="24"/>
  <c r="F19" i="24"/>
  <c r="G19" i="24"/>
  <c r="B20" i="24"/>
  <c r="C20" i="24"/>
  <c r="D20" i="24"/>
  <c r="E20" i="24"/>
  <c r="F20" i="24"/>
  <c r="G20" i="24"/>
  <c r="B21" i="24"/>
  <c r="C21" i="24"/>
  <c r="D21" i="24"/>
  <c r="E21" i="24"/>
  <c r="F21" i="24"/>
  <c r="G21" i="24"/>
  <c r="B22" i="24"/>
  <c r="C22" i="24"/>
  <c r="D22" i="24"/>
  <c r="E22" i="24"/>
  <c r="F22" i="24"/>
  <c r="G22" i="24"/>
  <c r="B23" i="24"/>
  <c r="C23" i="24"/>
  <c r="D23" i="24"/>
  <c r="E23" i="24"/>
  <c r="F23" i="24"/>
  <c r="G23" i="24"/>
  <c r="C24" i="24"/>
  <c r="D24" i="24"/>
  <c r="E24" i="24"/>
  <c r="B25" i="24"/>
  <c r="C25" i="24"/>
  <c r="D25" i="24"/>
  <c r="E25" i="24"/>
  <c r="F25" i="24"/>
  <c r="G25" i="24"/>
  <c r="B26" i="24"/>
  <c r="C26" i="24"/>
  <c r="D26" i="24"/>
  <c r="E26" i="24"/>
  <c r="F26" i="24"/>
  <c r="G26" i="24"/>
  <c r="G3" i="24"/>
  <c r="F3" i="24"/>
  <c r="E3" i="24"/>
  <c r="D3" i="24"/>
  <c r="C3" i="24"/>
  <c r="B3" i="24"/>
  <c r="F24" i="24" l="1"/>
  <c r="G24" i="24"/>
  <c r="G27" i="19"/>
  <c r="E18" i="20" s="1"/>
  <c r="H14" i="24"/>
  <c r="I14" i="24" s="1"/>
  <c r="H6" i="24"/>
  <c r="I6" i="24" s="1"/>
  <c r="H4" i="24"/>
  <c r="I4" i="24" s="1"/>
  <c r="H5" i="24"/>
  <c r="I5" i="24" s="1"/>
  <c r="H23" i="24"/>
  <c r="I23" i="24" s="1"/>
  <c r="H15" i="24"/>
  <c r="I15" i="24" s="1"/>
  <c r="H25" i="24"/>
  <c r="I25" i="24" s="1"/>
  <c r="H19" i="24"/>
  <c r="I19" i="24" s="1"/>
  <c r="H17" i="24"/>
  <c r="I17" i="24" s="1"/>
  <c r="H11" i="24"/>
  <c r="I11" i="24" s="1"/>
  <c r="H22" i="24"/>
  <c r="I22" i="24" s="1"/>
  <c r="H10" i="24"/>
  <c r="I10" i="24" s="1"/>
  <c r="H26" i="24"/>
  <c r="I26" i="24" s="1"/>
  <c r="H24" i="24"/>
  <c r="I24" i="24" s="1"/>
  <c r="H20" i="24"/>
  <c r="I20" i="24" s="1"/>
  <c r="H18" i="24"/>
  <c r="I18" i="24" s="1"/>
  <c r="H16" i="24"/>
  <c r="I16" i="24" s="1"/>
  <c r="H12" i="24"/>
  <c r="I12" i="24" s="1"/>
  <c r="H8" i="24"/>
  <c r="I8" i="24" s="1"/>
  <c r="H21" i="24"/>
  <c r="I21" i="24" s="1"/>
  <c r="H13" i="24"/>
  <c r="I13" i="24" s="1"/>
  <c r="H9" i="24"/>
  <c r="I9" i="24" s="1"/>
  <c r="H3" i="24"/>
  <c r="I3" i="24" s="1"/>
  <c r="H7" i="24"/>
  <c r="I7" i="24" s="1"/>
  <c r="H31" i="24" l="1"/>
  <c r="I31" i="24" s="1"/>
  <c r="H28" i="24"/>
  <c r="I28" i="24" s="1"/>
  <c r="G41" i="19"/>
  <c r="E17" i="20" s="1"/>
  <c r="I23" i="21"/>
  <c r="AB8" i="21"/>
  <c r="AC12" i="21" l="1"/>
  <c r="AE14" i="21"/>
  <c r="AE13" i="21"/>
  <c r="P17" i="21"/>
  <c r="B7" i="21"/>
  <c r="G19" i="21"/>
  <c r="G20" i="21"/>
  <c r="T23" i="21"/>
  <c r="J24" i="21"/>
  <c r="P24" i="21"/>
  <c r="P16" i="21" l="1"/>
  <c r="M1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三上圭一</author>
  </authors>
  <commentList>
    <comment ref="S1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>計算式が設定されている明細意の計算式
※単位換算、補給率計算は除く</t>
        </r>
      </text>
    </comment>
    <comment ref="T1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>計算式に数値を当て編めた数式
※単位換算、補給率計算は除く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FC</author>
  </authors>
  <commentList>
    <comment ref="E4" authorId="0" shapeId="0" xr:uid="{00000000-0006-0000-0400-000001000000}">
      <text>
        <r>
          <rPr>
            <sz val="9"/>
            <color indexed="81"/>
            <rFont val="ＭＳ Ｐゴシック"/>
            <family val="3"/>
            <charset val="128"/>
          </rPr>
          <t>１ページあたりの明細数を設定して下さい。
10～100の数値を指定して下さい。</t>
        </r>
      </text>
    </comment>
    <comment ref="E10" authorId="0" shapeId="0" xr:uid="{2FBF24C6-8AB2-4230-9553-4C6576FA14E2}">
      <text>
        <r>
          <rPr>
            <sz val="9"/>
            <color indexed="81"/>
            <rFont val="ＭＳ Ｐゴシック"/>
            <family val="3"/>
            <charset val="128"/>
          </rPr>
          <t>プログラムより連動する表紙用工事名称です。
物件名称＋図面番号より連動します。</t>
        </r>
      </text>
    </comment>
    <comment ref="E11" authorId="0" shapeId="0" xr:uid="{CDB85C0B-597D-4743-BCD9-94375A94BD04}">
      <text>
        <r>
          <rPr>
            <sz val="9"/>
            <color indexed="81"/>
            <rFont val="ＭＳ Ｐゴシック"/>
            <family val="3"/>
            <charset val="128"/>
          </rPr>
          <t xml:space="preserve">プログラムより連動する表紙工事場所です。
物件情報の工事場所より連動します。
</t>
        </r>
      </text>
    </comment>
    <comment ref="E12" authorId="0" shapeId="0" xr:uid="{D5AF3F66-DD63-4621-B62E-25BA38BFB982}">
      <text>
        <r>
          <rPr>
            <sz val="9"/>
            <color indexed="81"/>
            <rFont val="ＭＳ Ｐゴシック"/>
            <family val="3"/>
            <charset val="128"/>
          </rPr>
          <t xml:space="preserve">プログラムより連動する表紙工事種別です。
物件情報の工事種別より連動します。
</t>
        </r>
      </text>
    </comment>
    <comment ref="E13" authorId="0" shapeId="0" xr:uid="{0208901A-1AC6-4462-9A18-D25C3FA5E4C7}">
      <text>
        <r>
          <rPr>
            <sz val="9"/>
            <color indexed="81"/>
            <rFont val="ＭＳ Ｐゴシック"/>
            <family val="3"/>
            <charset val="128"/>
          </rPr>
          <t>プログラムより連動する表紙施主氏名です。
物件情報の施主氏名より連動します。</t>
        </r>
      </text>
    </comment>
    <comment ref="E14" authorId="0" shapeId="0" xr:uid="{00000000-0006-0000-0400-000006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プログラムより連動する表紙延床面積です。
配置図のトータル面積表より連動します。
</t>
        </r>
      </text>
    </comment>
    <comment ref="E16" authorId="0" shapeId="0" xr:uid="{00000000-0006-0000-0400-000007000000}">
      <text>
        <r>
          <rPr>
            <sz val="9"/>
            <color indexed="81"/>
            <rFont val="ＭＳ Ｐゴシック"/>
            <family val="3"/>
            <charset val="128"/>
          </rPr>
          <t>プログラムより連動する金額計算まるめです。
手間なし積算の専用初期設定より連動します。</t>
        </r>
      </text>
    </comment>
    <comment ref="E17" authorId="0" shapeId="0" xr:uid="{00000000-0006-0000-0400-000008000000}">
      <text>
        <r>
          <rPr>
            <sz val="9"/>
            <color indexed="81"/>
            <rFont val="ＭＳ Ｐゴシック"/>
            <family val="3"/>
            <charset val="128"/>
          </rPr>
          <t>表紙用合計見積金額です。
プログラムにより計算されます。</t>
        </r>
      </text>
    </comment>
    <comment ref="E18" authorId="0" shapeId="0" xr:uid="{00000000-0006-0000-0400-000009000000}">
      <text>
        <r>
          <rPr>
            <sz val="9"/>
            <color indexed="81"/>
            <rFont val="ＭＳ Ｐゴシック"/>
            <family val="3"/>
            <charset val="128"/>
          </rPr>
          <t>表紙用消費税額です。
プログラムにより計算されます。</t>
        </r>
      </text>
    </comment>
    <comment ref="E22" authorId="0" shapeId="0" xr:uid="{00000000-0006-0000-0400-00000A000000}">
      <text>
        <r>
          <rPr>
            <sz val="9"/>
            <color indexed="81"/>
            <rFont val="ＭＳ Ｐゴシック"/>
            <family val="3"/>
            <charset val="128"/>
          </rPr>
          <t>プログラムより連動する金額計算まるめです。
手間なし積算の専用初期設定より
消費税表記名称が連動します。</t>
        </r>
      </text>
    </comment>
    <comment ref="E23" authorId="0" shapeId="0" xr:uid="{00000000-0006-0000-0400-00000B000000}">
      <text>
        <r>
          <rPr>
            <sz val="9"/>
            <color indexed="81"/>
            <rFont val="ＭＳ Ｐゴシック"/>
            <family val="3"/>
            <charset val="128"/>
          </rPr>
          <t>プログラムより連動する金額計算まるめです。
手間なし積算の専用初期設定より連動します。</t>
        </r>
      </text>
    </comment>
    <comment ref="E24" authorId="0" shapeId="0" xr:uid="{00000000-0006-0000-0400-00000C000000}">
      <text>
        <r>
          <rPr>
            <sz val="9"/>
            <color indexed="81"/>
            <rFont val="ＭＳ Ｐゴシック"/>
            <family val="3"/>
            <charset val="128"/>
          </rPr>
          <t>プログラムより連動する金額計算まるめです。
手間なし積算の専用初期設定より連動します。</t>
        </r>
      </text>
    </comment>
  </commentList>
</comments>
</file>

<file path=xl/sharedStrings.xml><?xml version="1.0" encoding="utf-8"?>
<sst xmlns="http://schemas.openxmlformats.org/spreadsheetml/2006/main" count="2434" uniqueCount="1003">
  <si>
    <t>見積有効期限</t>
    <rPh sb="0" eb="2">
      <t>ミツ</t>
    </rPh>
    <rPh sb="2" eb="4">
      <t>ユウコウ</t>
    </rPh>
    <rPh sb="4" eb="6">
      <t>キゲン</t>
    </rPh>
    <phoneticPr fontId="4"/>
  </si>
  <si>
    <t>工事場所</t>
    <rPh sb="0" eb="2">
      <t>コウジ</t>
    </rPh>
    <rPh sb="2" eb="4">
      <t>バショ</t>
    </rPh>
    <phoneticPr fontId="4"/>
  </si>
  <si>
    <t>工期</t>
    <rPh sb="0" eb="2">
      <t>コウキ</t>
    </rPh>
    <phoneticPr fontId="4"/>
  </si>
  <si>
    <t>名称</t>
    <rPh sb="0" eb="2">
      <t>メイショウ</t>
    </rPh>
    <phoneticPr fontId="4"/>
  </si>
  <si>
    <t>摘要</t>
    <rPh sb="0" eb="2">
      <t>テキヨウ</t>
    </rPh>
    <phoneticPr fontId="4"/>
  </si>
  <si>
    <t>見積数量</t>
    <rPh sb="0" eb="2">
      <t>ミツ</t>
    </rPh>
    <rPh sb="2" eb="4">
      <t>スウリョウ</t>
    </rPh>
    <phoneticPr fontId="4"/>
  </si>
  <si>
    <t>単位</t>
    <rPh sb="0" eb="2">
      <t>タンイ</t>
    </rPh>
    <phoneticPr fontId="4"/>
  </si>
  <si>
    <t>見積単価</t>
    <rPh sb="0" eb="2">
      <t>ミツ</t>
    </rPh>
    <rPh sb="2" eb="4">
      <t>タンカ</t>
    </rPh>
    <phoneticPr fontId="4"/>
  </si>
  <si>
    <t>見積金額</t>
    <rPh sb="0" eb="2">
      <t>ミツ</t>
    </rPh>
    <rPh sb="2" eb="4">
      <t>キンガク</t>
    </rPh>
    <phoneticPr fontId="4"/>
  </si>
  <si>
    <t>親</t>
    <rPh sb="0" eb="1">
      <t>オヤ</t>
    </rPh>
    <phoneticPr fontId="4"/>
  </si>
  <si>
    <t>子</t>
    <rPh sb="0" eb="1">
      <t>コ</t>
    </rPh>
    <phoneticPr fontId="4"/>
  </si>
  <si>
    <t>通</t>
    <rPh sb="0" eb="1">
      <t>トオ</t>
    </rPh>
    <phoneticPr fontId="4"/>
  </si>
  <si>
    <t>数量</t>
    <rPh sb="0" eb="2">
      <t>スウリョウ</t>
    </rPh>
    <phoneticPr fontId="4"/>
  </si>
  <si>
    <t>発注単価</t>
    <rPh sb="0" eb="2">
      <t>ハッチュウ</t>
    </rPh>
    <rPh sb="2" eb="4">
      <t>タンカ</t>
    </rPh>
    <phoneticPr fontId="4"/>
  </si>
  <si>
    <t>定価</t>
    <rPh sb="0" eb="2">
      <t>テイカ</t>
    </rPh>
    <phoneticPr fontId="4"/>
  </si>
  <si>
    <t>部材コード</t>
    <rPh sb="0" eb="1">
      <t>ブ</t>
    </rPh>
    <rPh sb="1" eb="2">
      <t>ザイ</t>
    </rPh>
    <phoneticPr fontId="4"/>
  </si>
  <si>
    <t>建設資機材コード</t>
    <rPh sb="0" eb="2">
      <t>ケンセツ</t>
    </rPh>
    <rPh sb="2" eb="3">
      <t>シ</t>
    </rPh>
    <rPh sb="3" eb="5">
      <t>キザイ</t>
    </rPh>
    <phoneticPr fontId="4"/>
  </si>
  <si>
    <t>要素コード</t>
    <rPh sb="0" eb="2">
      <t>ヨウソ</t>
    </rPh>
    <phoneticPr fontId="4"/>
  </si>
  <si>
    <t>発注lコード</t>
    <rPh sb="0" eb="2">
      <t>ハッチュウ</t>
    </rPh>
    <phoneticPr fontId="4"/>
  </si>
  <si>
    <t>備考</t>
    <rPh sb="0" eb="2">
      <t>ビコウ</t>
    </rPh>
    <phoneticPr fontId="4"/>
  </si>
  <si>
    <t>1ページあたりの明細数</t>
    <rPh sb="8" eb="10">
      <t>メイサイ</t>
    </rPh>
    <rPh sb="10" eb="11">
      <t>スウ</t>
    </rPh>
    <phoneticPr fontId="4"/>
  </si>
  <si>
    <t>合計書式</t>
    <rPh sb="0" eb="2">
      <t>ゴウケイ</t>
    </rPh>
    <rPh sb="2" eb="4">
      <t>ショシキ</t>
    </rPh>
    <phoneticPr fontId="4"/>
  </si>
  <si>
    <t>表紙用物件情報</t>
    <rPh sb="0" eb="2">
      <t>ヒョウシ</t>
    </rPh>
    <rPh sb="2" eb="3">
      <t>ヨウ</t>
    </rPh>
    <rPh sb="3" eb="5">
      <t>ブッケン</t>
    </rPh>
    <rPh sb="5" eb="7">
      <t>ジョウホウ</t>
    </rPh>
    <phoneticPr fontId="4"/>
  </si>
  <si>
    <t>表紙工事名称</t>
    <rPh sb="0" eb="2">
      <t>ヒョウシ</t>
    </rPh>
    <rPh sb="2" eb="4">
      <t>コウジ</t>
    </rPh>
    <rPh sb="4" eb="6">
      <t>メイショウ</t>
    </rPh>
    <phoneticPr fontId="4"/>
  </si>
  <si>
    <t>表紙見積金額合計</t>
    <rPh sb="0" eb="2">
      <t>ヒョウシ</t>
    </rPh>
    <rPh sb="2" eb="4">
      <t>ミツ</t>
    </rPh>
    <rPh sb="4" eb="6">
      <t>キンガク</t>
    </rPh>
    <rPh sb="6" eb="8">
      <t>ゴウケイ</t>
    </rPh>
    <phoneticPr fontId="4"/>
  </si>
  <si>
    <t>消費税</t>
    <rPh sb="0" eb="3">
      <t>ショウヒゼイ</t>
    </rPh>
    <phoneticPr fontId="4"/>
  </si>
  <si>
    <t>消費税書式</t>
    <rPh sb="0" eb="3">
      <t>ショウヒゼイ</t>
    </rPh>
    <rPh sb="3" eb="5">
      <t>ショシキ</t>
    </rPh>
    <phoneticPr fontId="4"/>
  </si>
  <si>
    <t>消費税税率</t>
    <rPh sb="0" eb="3">
      <t>ショウヒゼイ</t>
    </rPh>
    <rPh sb="3" eb="5">
      <t>ゼイリツ</t>
    </rPh>
    <phoneticPr fontId="4"/>
  </si>
  <si>
    <t>%</t>
    <phoneticPr fontId="4"/>
  </si>
  <si>
    <t>消費税まるめ</t>
    <rPh sb="0" eb="3">
      <t>ショウヒゼイ</t>
    </rPh>
    <phoneticPr fontId="4"/>
  </si>
  <si>
    <t>御見積書</t>
  </si>
  <si>
    <t>様</t>
    <phoneticPr fontId="4"/>
  </si>
  <si>
    <t>下記の通り、お見積り申し上げます。</t>
    <rPh sb="0" eb="2">
      <t>カキ</t>
    </rPh>
    <rPh sb="3" eb="4">
      <t>トオ</t>
    </rPh>
    <rPh sb="7" eb="9">
      <t>ミツ</t>
    </rPh>
    <rPh sb="10" eb="11">
      <t>モウ</t>
    </rPh>
    <rPh sb="12" eb="13">
      <t>ア</t>
    </rPh>
    <phoneticPr fontId="4"/>
  </si>
  <si>
    <t>工事名</t>
    <rPh sb="0" eb="2">
      <t>コウジ</t>
    </rPh>
    <rPh sb="2" eb="3">
      <t>メイ</t>
    </rPh>
    <phoneticPr fontId="4"/>
  </si>
  <si>
    <t>工事概要</t>
    <rPh sb="0" eb="2">
      <t>コウジ</t>
    </rPh>
    <rPh sb="2" eb="4">
      <t>ガイヨウ</t>
    </rPh>
    <phoneticPr fontId="4"/>
  </si>
  <si>
    <t>工法：</t>
    <rPh sb="0" eb="2">
      <t>コウホウ</t>
    </rPh>
    <phoneticPr fontId="4"/>
  </si>
  <si>
    <t>種別：</t>
    <rPh sb="0" eb="2">
      <t>シュベツ</t>
    </rPh>
    <phoneticPr fontId="4"/>
  </si>
  <si>
    <t>延床面積：</t>
    <rPh sb="0" eb="1">
      <t>ノ</t>
    </rPh>
    <rPh sb="1" eb="2">
      <t>ユカ</t>
    </rPh>
    <rPh sb="2" eb="4">
      <t>メンセキ</t>
    </rPh>
    <phoneticPr fontId="4"/>
  </si>
  <si>
    <t>お支払い条件</t>
    <rPh sb="1" eb="3">
      <t>シハラ</t>
    </rPh>
    <rPh sb="4" eb="6">
      <t>ジョウケン</t>
    </rPh>
    <phoneticPr fontId="4"/>
  </si>
  <si>
    <t>-</t>
    <phoneticPr fontId="4"/>
  </si>
  <si>
    <t>表紙工事場所</t>
    <rPh sb="0" eb="2">
      <t>ヒョウシ</t>
    </rPh>
    <rPh sb="2" eb="4">
      <t>コウジ</t>
    </rPh>
    <rPh sb="4" eb="6">
      <t>バショ</t>
    </rPh>
    <phoneticPr fontId="4"/>
  </si>
  <si>
    <t>表紙工事種別</t>
    <rPh sb="0" eb="2">
      <t>ヒョウシ</t>
    </rPh>
    <rPh sb="2" eb="4">
      <t>コウジ</t>
    </rPh>
    <rPh sb="4" eb="6">
      <t>シュベツ</t>
    </rPh>
    <phoneticPr fontId="4"/>
  </si>
  <si>
    <t>表紙延床面積</t>
    <rPh sb="0" eb="2">
      <t>ヒョウシ</t>
    </rPh>
    <rPh sb="2" eb="3">
      <t>ノ</t>
    </rPh>
    <rPh sb="3" eb="6">
      <t>ユカメンセキ</t>
    </rPh>
    <phoneticPr fontId="4"/>
  </si>
  <si>
    <t>表紙消費税</t>
    <rPh sb="0" eb="2">
      <t>ヒョウシ</t>
    </rPh>
    <rPh sb="2" eb="5">
      <t>ショウヒゼイ</t>
    </rPh>
    <phoneticPr fontId="4"/>
  </si>
  <si>
    <t>金額計算まるめ</t>
    <rPh sb="0" eb="2">
      <t>キンガク</t>
    </rPh>
    <rPh sb="2" eb="4">
      <t>ケイサン</t>
    </rPh>
    <phoneticPr fontId="4"/>
  </si>
  <si>
    <t>計算式</t>
    <rPh sb="0" eb="2">
      <t>ケイサン</t>
    </rPh>
    <rPh sb="2" eb="3">
      <t>シキ</t>
    </rPh>
    <phoneticPr fontId="4"/>
  </si>
  <si>
    <t>計算式数式</t>
    <rPh sb="0" eb="2">
      <t>ケイサン</t>
    </rPh>
    <rPh sb="2" eb="3">
      <t>シキ</t>
    </rPh>
    <rPh sb="3" eb="5">
      <t>スウシキ</t>
    </rPh>
    <phoneticPr fontId="4"/>
  </si>
  <si>
    <t>部位</t>
    <rPh sb="0" eb="2">
      <t>ブイ</t>
    </rPh>
    <phoneticPr fontId="4"/>
  </si>
  <si>
    <t>補給率</t>
    <rPh sb="0" eb="2">
      <t>ホキュウ</t>
    </rPh>
    <rPh sb="2" eb="3">
      <t>リツ</t>
    </rPh>
    <phoneticPr fontId="4"/>
  </si>
  <si>
    <t>計算数量</t>
    <rPh sb="0" eb="2">
      <t>ケイサン</t>
    </rPh>
    <rPh sb="2" eb="4">
      <t>スウリョウ</t>
    </rPh>
    <phoneticPr fontId="4"/>
  </si>
  <si>
    <t>㎡</t>
    <phoneticPr fontId="4"/>
  </si>
  <si>
    <t>（</t>
    <phoneticPr fontId="4"/>
  </si>
  <si>
    <t>坪）</t>
    <rPh sb="0" eb="1">
      <t>ツボ</t>
    </rPh>
    <phoneticPr fontId="4"/>
  </si>
  <si>
    <t>項目№</t>
    <rPh sb="0" eb="2">
      <t>コウモク</t>
    </rPh>
    <phoneticPr fontId="4"/>
  </si>
  <si>
    <t>(</t>
    <phoneticPr fontId="4"/>
  </si>
  <si>
    <t>㎡</t>
    <phoneticPr fontId="4"/>
  </si>
  <si>
    <t>坪</t>
    <rPh sb="0" eb="1">
      <t>ツボ</t>
    </rPh>
    <phoneticPr fontId="4"/>
  </si>
  <si>
    <t>表紙施主氏名</t>
    <rPh sb="0" eb="2">
      <t>ヒョウシ</t>
    </rPh>
    <rPh sb="2" eb="4">
      <t>セシュ</t>
    </rPh>
    <rPh sb="4" eb="6">
      <t>シメイ</t>
    </rPh>
    <phoneticPr fontId="4"/>
  </si>
  <si>
    <t>　　　※大きい数字を設定しても必ずしも１ページがその行数になるとは限りません。</t>
    <rPh sb="4" eb="5">
      <t>オオ</t>
    </rPh>
    <rPh sb="7" eb="9">
      <t>スウジ</t>
    </rPh>
    <rPh sb="10" eb="12">
      <t>セッテイ</t>
    </rPh>
    <rPh sb="15" eb="16">
      <t>カナラ</t>
    </rPh>
    <rPh sb="26" eb="28">
      <t>ギョウスウ</t>
    </rPh>
    <rPh sb="33" eb="34">
      <t>カギ</t>
    </rPh>
    <phoneticPr fontId="4"/>
  </si>
  <si>
    <t>会社名</t>
    <phoneticPr fontId="4"/>
  </si>
  <si>
    <t>会社事業所名</t>
    <phoneticPr fontId="4"/>
  </si>
  <si>
    <t>会社郵便番号</t>
    <phoneticPr fontId="4"/>
  </si>
  <si>
    <t>会社住所１</t>
    <phoneticPr fontId="4"/>
  </si>
  <si>
    <t>会社住所２</t>
    <phoneticPr fontId="4"/>
  </si>
  <si>
    <t>会社TEL</t>
    <phoneticPr fontId="4"/>
  </si>
  <si>
    <t>会社FAX</t>
    <phoneticPr fontId="4"/>
  </si>
  <si>
    <t>会社URL</t>
    <phoneticPr fontId="4"/>
  </si>
  <si>
    <t>会社MAIL</t>
    <phoneticPr fontId="4"/>
  </si>
  <si>
    <t>※各条件を変更した結果を反映する場合には
明細書再構築を行う必要があります。
表紙・明細書が強制的に再構成されます。</t>
    <phoneticPr fontId="4"/>
  </si>
  <si>
    <t>〒</t>
    <phoneticPr fontId="4"/>
  </si>
  <si>
    <t>経費行</t>
    <rPh sb="0" eb="2">
      <t>ケイヒ</t>
    </rPh>
    <rPh sb="2" eb="3">
      <t>ギョウ</t>
    </rPh>
    <phoneticPr fontId="4"/>
  </si>
  <si>
    <t>経費行書式</t>
  </si>
  <si>
    <t>446-0043</t>
    <phoneticPr fontId="4"/>
  </si>
  <si>
    <t>合計</t>
    <rPh sb="0" eb="2">
      <t>ゴウケイ</t>
    </rPh>
    <phoneticPr fontId="4"/>
  </si>
  <si>
    <t>代表取締役　兵藤大祐</t>
    <rPh sb="0" eb="2">
      <t>ダイヒョウ</t>
    </rPh>
    <rPh sb="2" eb="4">
      <t>トリシマ</t>
    </rPh>
    <rPh sb="4" eb="5">
      <t>ヤク</t>
    </rPh>
    <rPh sb="6" eb="8">
      <t>ヒョウドウ</t>
    </rPh>
    <rPh sb="8" eb="10">
      <t>ダイスケ</t>
    </rPh>
    <phoneticPr fontId="4"/>
  </si>
  <si>
    <t>契約時10％ 着工時30％ 上棟時40％ 完成時20％+追加変更金100％
解体工事・造成工事・地盤補強工事等の先行工事分は当該工事後100％</t>
    <rPh sb="0" eb="2">
      <t>ケイヤク</t>
    </rPh>
    <rPh sb="2" eb="3">
      <t>ジ</t>
    </rPh>
    <rPh sb="7" eb="9">
      <t>チャッコウ</t>
    </rPh>
    <rPh sb="9" eb="10">
      <t>ジ</t>
    </rPh>
    <rPh sb="14" eb="16">
      <t>ジョウトウ</t>
    </rPh>
    <rPh sb="16" eb="17">
      <t>ジ</t>
    </rPh>
    <rPh sb="21" eb="24">
      <t>カンセイジ</t>
    </rPh>
    <rPh sb="28" eb="30">
      <t>ツイカ</t>
    </rPh>
    <rPh sb="30" eb="32">
      <t>ヘンコウ</t>
    </rPh>
    <rPh sb="32" eb="33">
      <t>キン</t>
    </rPh>
    <rPh sb="38" eb="40">
      <t>カイタイ</t>
    </rPh>
    <rPh sb="40" eb="42">
      <t>コウジ</t>
    </rPh>
    <rPh sb="43" eb="45">
      <t>ゾウセイ</t>
    </rPh>
    <rPh sb="45" eb="47">
      <t>コウジ</t>
    </rPh>
    <rPh sb="48" eb="50">
      <t>ジバン</t>
    </rPh>
    <rPh sb="50" eb="52">
      <t>ホキョウ</t>
    </rPh>
    <rPh sb="52" eb="54">
      <t>コウジ</t>
    </rPh>
    <rPh sb="54" eb="55">
      <t>トウ</t>
    </rPh>
    <rPh sb="56" eb="58">
      <t>センコウ</t>
    </rPh>
    <rPh sb="58" eb="60">
      <t>コウジ</t>
    </rPh>
    <rPh sb="60" eb="61">
      <t>ブン</t>
    </rPh>
    <rPh sb="62" eb="64">
      <t>トウガイ</t>
    </rPh>
    <rPh sb="64" eb="66">
      <t>コウジ</t>
    </rPh>
    <rPh sb="66" eb="67">
      <t>ゴ</t>
    </rPh>
    <phoneticPr fontId="4"/>
  </si>
  <si>
    <t>木材の価格及び調達情勢が不安定な為、上記有効期限経過後は再見積となります
住宅設備等が価格改定の場合、有効期限に係わらず経過期間終了後の見積金額は変更となります</t>
    <phoneticPr fontId="4"/>
  </si>
  <si>
    <t>【保証・保険】瑕疵担保責任保険（2000万円ｺｰｽ）
　　　　　　　　　　・地盤20年・躯体30年・防水20年・設備10年・その他保証書に準ずる　　　　　　　</t>
    <rPh sb="1" eb="3">
      <t>ホショウ</t>
    </rPh>
    <rPh sb="4" eb="6">
      <t>ホケン</t>
    </rPh>
    <rPh sb="20" eb="22">
      <t>マンエン</t>
    </rPh>
    <phoneticPr fontId="4"/>
  </si>
  <si>
    <r>
      <t>御見積金額</t>
    </r>
    <r>
      <rPr>
        <sz val="14"/>
        <rFont val="ＭＳ Ｐ明朝"/>
        <family val="1"/>
        <charset val="128"/>
      </rPr>
      <t>（税込）</t>
    </r>
    <rPh sb="0" eb="1">
      <t>オン</t>
    </rPh>
    <rPh sb="1" eb="3">
      <t>ミツ</t>
    </rPh>
    <rPh sb="3" eb="5">
      <t>キンガク</t>
    </rPh>
    <rPh sb="6" eb="8">
      <t>ゼイコミ</t>
    </rPh>
    <phoneticPr fontId="4"/>
  </si>
  <si>
    <t>税別金額</t>
    <rPh sb="0" eb="2">
      <t>ゼイベツ</t>
    </rPh>
    <rPh sb="2" eb="4">
      <t>キンガク</t>
    </rPh>
    <phoneticPr fontId="4"/>
  </si>
  <si>
    <t>―）</t>
    <phoneticPr fontId="4"/>
  </si>
  <si>
    <t>https://www.nipponjuken.co.jp/</t>
  </si>
  <si>
    <t>お打ち合わせによる</t>
    <rPh sb="1" eb="2">
      <t>ウ</t>
    </rPh>
    <rPh sb="3" eb="4">
      <t>ア</t>
    </rPh>
    <phoneticPr fontId="4"/>
  </si>
  <si>
    <t>提出日より1か月間</t>
    <rPh sb="0" eb="2">
      <t>テイシュツ</t>
    </rPh>
    <rPh sb="2" eb="3">
      <t>ビ</t>
    </rPh>
    <rPh sb="7" eb="9">
      <t>ゲツカン</t>
    </rPh>
    <phoneticPr fontId="4"/>
  </si>
  <si>
    <t xml:space="preserve">見積番号：    </t>
    <rPh sb="0" eb="2">
      <t>ミツ</t>
    </rPh>
    <rPh sb="2" eb="4">
      <t>バンゴウ</t>
    </rPh>
    <phoneticPr fontId="4"/>
  </si>
  <si>
    <t>設計</t>
    <rPh sb="0" eb="2">
      <t>セッケイ</t>
    </rPh>
    <phoneticPr fontId="4"/>
  </si>
  <si>
    <t>営業</t>
    <rPh sb="0" eb="2">
      <t>エイギョウ</t>
    </rPh>
    <phoneticPr fontId="4"/>
  </si>
  <si>
    <t>最終承認</t>
    <rPh sb="0" eb="2">
      <t>サイシュウ</t>
    </rPh>
    <rPh sb="2" eb="4">
      <t>ショウニン</t>
    </rPh>
    <phoneticPr fontId="4"/>
  </si>
  <si>
    <t>TEL：</t>
    <phoneticPr fontId="4"/>
  </si>
  <si>
    <t>FAX：</t>
    <phoneticPr fontId="4"/>
  </si>
  <si>
    <t>URL：</t>
    <phoneticPr fontId="4"/>
  </si>
  <si>
    <t xml:space="preserve">提 出 日 ：    </t>
    <rPh sb="0" eb="1">
      <t>テイ</t>
    </rPh>
    <rPh sb="2" eb="3">
      <t>デ</t>
    </rPh>
    <rPh sb="4" eb="5">
      <t>ビ</t>
    </rPh>
    <phoneticPr fontId="4"/>
  </si>
  <si>
    <t>工事概要</t>
    <rPh sb="0" eb="4">
      <t>コウジガイヨウ</t>
    </rPh>
    <phoneticPr fontId="4"/>
  </si>
  <si>
    <t>木造軸組みマイホーム構造</t>
    <rPh sb="0" eb="4">
      <t>モクゾウジクグ</t>
    </rPh>
    <rPh sb="10" eb="12">
      <t>コウゾウ</t>
    </rPh>
    <phoneticPr fontId="4"/>
  </si>
  <si>
    <t>№</t>
    <phoneticPr fontId="4"/>
  </si>
  <si>
    <t>名称</t>
    <phoneticPr fontId="4"/>
  </si>
  <si>
    <t>摘要</t>
    <phoneticPr fontId="4"/>
  </si>
  <si>
    <t>数量</t>
    <phoneticPr fontId="4"/>
  </si>
  <si>
    <t>単位</t>
    <phoneticPr fontId="4"/>
  </si>
  <si>
    <t>見積単価</t>
    <phoneticPr fontId="4"/>
  </si>
  <si>
    <t>粗利額</t>
    <phoneticPr fontId="4"/>
  </si>
  <si>
    <t>粗利率</t>
    <phoneticPr fontId="4"/>
  </si>
  <si>
    <t>【操作方法】</t>
    <rPh sb="1" eb="3">
      <t>ソウサ</t>
    </rPh>
    <rPh sb="3" eb="5">
      <t>ホウホウ</t>
    </rPh>
    <phoneticPr fontId="4"/>
  </si>
  <si>
    <t>エラー行（＃N/A)を削除</t>
    <rPh sb="3" eb="4">
      <t>ギョウ</t>
    </rPh>
    <rPh sb="11" eb="13">
      <t>サクジョ</t>
    </rPh>
    <phoneticPr fontId="4"/>
  </si>
  <si>
    <t>諸経費金額を入力（又は計算式）</t>
    <rPh sb="0" eb="3">
      <t>ショケイヒ</t>
    </rPh>
    <rPh sb="3" eb="5">
      <t>キンガク</t>
    </rPh>
    <rPh sb="6" eb="8">
      <t>ニュウリョク</t>
    </rPh>
    <rPh sb="9" eb="10">
      <t>マタ</t>
    </rPh>
    <rPh sb="11" eb="14">
      <t>ケイサンシキ</t>
    </rPh>
    <phoneticPr fontId="4"/>
  </si>
  <si>
    <t>右下の情報欄を記入</t>
    <rPh sb="0" eb="2">
      <t>ミギシタ</t>
    </rPh>
    <rPh sb="3" eb="5">
      <t>ジョウホウ</t>
    </rPh>
    <rPh sb="5" eb="6">
      <t>ラン</t>
    </rPh>
    <rPh sb="7" eb="9">
      <t>キニュウ</t>
    </rPh>
    <phoneticPr fontId="4"/>
  </si>
  <si>
    <t>必要に応じて、捺印欄も文字や印影画像入力可能</t>
    <rPh sb="0" eb="2">
      <t>ヒツヨウ</t>
    </rPh>
    <rPh sb="3" eb="4">
      <t>オウ</t>
    </rPh>
    <rPh sb="7" eb="9">
      <t>ナツイン</t>
    </rPh>
    <rPh sb="9" eb="10">
      <t>ラン</t>
    </rPh>
    <rPh sb="11" eb="13">
      <t>モジ</t>
    </rPh>
    <rPh sb="14" eb="16">
      <t>インエイ</t>
    </rPh>
    <rPh sb="16" eb="18">
      <t>ガゾウ</t>
    </rPh>
    <rPh sb="18" eb="20">
      <t>ニュウリョク</t>
    </rPh>
    <rPh sb="20" eb="22">
      <t>カノウ</t>
    </rPh>
    <phoneticPr fontId="4"/>
  </si>
  <si>
    <t>PDFで印刷</t>
    <rPh sb="4" eb="6">
      <t>インサツ</t>
    </rPh>
    <phoneticPr fontId="4"/>
  </si>
  <si>
    <t>小計</t>
    <phoneticPr fontId="4"/>
  </si>
  <si>
    <t>端数値引き</t>
    <phoneticPr fontId="4"/>
  </si>
  <si>
    <t>▼▼この下の欄に入力すると、左の図に反映されます▼▼</t>
    <phoneticPr fontId="4"/>
  </si>
  <si>
    <t>お客様名</t>
    <phoneticPr fontId="4"/>
  </si>
  <si>
    <t>見積担当</t>
    <phoneticPr fontId="4"/>
  </si>
  <si>
    <t>設計担当</t>
    <phoneticPr fontId="4"/>
  </si>
  <si>
    <t>本部長</t>
    <phoneticPr fontId="4"/>
  </si>
  <si>
    <t>社長</t>
    <phoneticPr fontId="4"/>
  </si>
  <si>
    <t>提出日/契約日</t>
    <rPh sb="0" eb="2">
      <t>テイシュツ</t>
    </rPh>
    <rPh sb="2" eb="3">
      <t>ビ</t>
    </rPh>
    <phoneticPr fontId="4"/>
  </si>
  <si>
    <t>契約時値引額</t>
    <phoneticPr fontId="4"/>
  </si>
  <si>
    <t>紹介：有　無</t>
    <rPh sb="5" eb="6">
      <t>ナシ</t>
    </rPh>
    <phoneticPr fontId="4"/>
  </si>
  <si>
    <t>【特記事項】</t>
    <rPh sb="1" eb="3">
      <t>トッキ</t>
    </rPh>
    <rPh sb="3" eb="5">
      <t>ジコウ</t>
    </rPh>
    <phoneticPr fontId="4"/>
  </si>
  <si>
    <t>諸経費用計算式</t>
    <rPh sb="0" eb="3">
      <t>ショケイヒ</t>
    </rPh>
    <rPh sb="3" eb="4">
      <t>ヨウ</t>
    </rPh>
    <rPh sb="4" eb="7">
      <t>ケイサンシキ</t>
    </rPh>
    <phoneticPr fontId="4"/>
  </si>
  <si>
    <t>ROUND(SUM(F2:F25)*0.15,0)</t>
    <phoneticPr fontId="4"/>
  </si>
  <si>
    <t>↑↑セル範囲は調整する↑↑</t>
    <rPh sb="4" eb="6">
      <t>ハンイ</t>
    </rPh>
    <rPh sb="7" eb="9">
      <t>チョウセイ</t>
    </rPh>
    <phoneticPr fontId="4"/>
  </si>
  <si>
    <t>設計原価</t>
    <rPh sb="0" eb="2">
      <t>セッケイ</t>
    </rPh>
    <rPh sb="2" eb="4">
      <t>ゲンカ</t>
    </rPh>
    <phoneticPr fontId="4"/>
  </si>
  <si>
    <t>粗利管理表</t>
    <rPh sb="0" eb="2">
      <t>アラリ</t>
    </rPh>
    <rPh sb="2" eb="4">
      <t>カンリ</t>
    </rPh>
    <rPh sb="4" eb="5">
      <t>ヒョウ</t>
    </rPh>
    <phoneticPr fontId="4"/>
  </si>
  <si>
    <t>杉浦</t>
    <rPh sb="0" eb="2">
      <t>スギウラ</t>
    </rPh>
    <phoneticPr fontId="4"/>
  </si>
  <si>
    <t>中村</t>
    <rPh sb="0" eb="2">
      <t>ナカムラ</t>
    </rPh>
    <phoneticPr fontId="4"/>
  </si>
  <si>
    <t>【見積担当】</t>
    <rPh sb="1" eb="3">
      <t>ミツモリ</t>
    </rPh>
    <rPh sb="3" eb="5">
      <t>タントウ</t>
    </rPh>
    <phoneticPr fontId="4"/>
  </si>
  <si>
    <t>中角</t>
    <rPh sb="0" eb="2">
      <t>ナカズミ</t>
    </rPh>
    <phoneticPr fontId="4"/>
  </si>
  <si>
    <t>井圡</t>
    <phoneticPr fontId="4"/>
  </si>
  <si>
    <t>塚本</t>
    <rPh sb="0" eb="2">
      <t>ツカモト</t>
    </rPh>
    <phoneticPr fontId="4"/>
  </si>
  <si>
    <t>作成日：</t>
    <rPh sb="0" eb="3">
      <t>サクセイビ</t>
    </rPh>
    <phoneticPr fontId="4"/>
  </si>
  <si>
    <t>担当：</t>
    <rPh sb="0" eb="2">
      <t>タントウ</t>
    </rPh>
    <phoneticPr fontId="4"/>
  </si>
  <si>
    <t>営業部長</t>
    <rPh sb="2" eb="4">
      <t>ブチョウ</t>
    </rPh>
    <phoneticPr fontId="4"/>
  </si>
  <si>
    <t>工事部長</t>
    <rPh sb="0" eb="4">
      <t>コウジブチョウ</t>
    </rPh>
    <phoneticPr fontId="4"/>
  </si>
  <si>
    <t>設計部長</t>
    <rPh sb="2" eb="4">
      <t>ブチョウ</t>
    </rPh>
    <phoneticPr fontId="4"/>
  </si>
  <si>
    <t>営業担当（敬称略）</t>
    <rPh sb="5" eb="7">
      <t>ケイショウ</t>
    </rPh>
    <rPh sb="7" eb="8">
      <t>リャク</t>
    </rPh>
    <phoneticPr fontId="4"/>
  </si>
  <si>
    <t>図面日付</t>
    <rPh sb="0" eb="2">
      <t>ズメン</t>
    </rPh>
    <rPh sb="2" eb="4">
      <t>ヒヅケ</t>
    </rPh>
    <phoneticPr fontId="4"/>
  </si>
  <si>
    <t>【構造】</t>
    <rPh sb="1" eb="3">
      <t>コウゾウ</t>
    </rPh>
    <phoneticPr fontId="4"/>
  </si>
  <si>
    <t>木造軸組み一般構造</t>
    <rPh sb="0" eb="4">
      <t>モクゾウジクグ</t>
    </rPh>
    <rPh sb="5" eb="7">
      <t>イッパン</t>
    </rPh>
    <rPh sb="7" eb="9">
      <t>コウゾウ</t>
    </rPh>
    <phoneticPr fontId="4"/>
  </si>
  <si>
    <t>見積番号</t>
    <rPh sb="0" eb="2">
      <t>ミツモリ</t>
    </rPh>
    <rPh sb="2" eb="4">
      <t>バンゴウ</t>
    </rPh>
    <phoneticPr fontId="4"/>
  </si>
  <si>
    <t>提出日</t>
    <rPh sb="0" eb="2">
      <t>テイシュツ</t>
    </rPh>
    <rPh sb="2" eb="3">
      <t>ヒ</t>
    </rPh>
    <phoneticPr fontId="4"/>
  </si>
  <si>
    <t>【見積番号】</t>
    <rPh sb="1" eb="3">
      <t>ミツモリ</t>
    </rPh>
    <rPh sb="3" eb="5">
      <t>バンゴウ</t>
    </rPh>
    <phoneticPr fontId="4"/>
  </si>
  <si>
    <t>【提出日】</t>
    <rPh sb="1" eb="3">
      <t>テイシュツ</t>
    </rPh>
    <rPh sb="3" eb="4">
      <t>ヒ</t>
    </rPh>
    <phoneticPr fontId="4"/>
  </si>
  <si>
    <t>見積を提出した日</t>
    <rPh sb="0" eb="2">
      <t>ミツモリ</t>
    </rPh>
    <rPh sb="3" eb="5">
      <t>テイシュツ</t>
    </rPh>
    <rPh sb="7" eb="8">
      <t>ヒ</t>
    </rPh>
    <phoneticPr fontId="4"/>
  </si>
  <si>
    <t>図面日付：</t>
    <rPh sb="0" eb="2">
      <t>ズメン</t>
    </rPh>
    <rPh sb="2" eb="4">
      <t>ヒヅケ</t>
    </rPh>
    <phoneticPr fontId="4"/>
  </si>
  <si>
    <t>契約・契約後変更</t>
    <rPh sb="0" eb="2">
      <t>ケイヤク</t>
    </rPh>
    <rPh sb="3" eb="6">
      <t>ケイヤクゴ</t>
    </rPh>
    <rPh sb="6" eb="8">
      <t>ヘンコウ</t>
    </rPh>
    <phoneticPr fontId="4"/>
  </si>
  <si>
    <t>【契約・契約後変更】</t>
    <rPh sb="1" eb="3">
      <t>ケイヤク</t>
    </rPh>
    <rPh sb="4" eb="7">
      <t>ケイヤクゴ</t>
    </rPh>
    <rPh sb="7" eb="9">
      <t>ヘンコウ</t>
    </rPh>
    <phoneticPr fontId="4"/>
  </si>
  <si>
    <t>契約</t>
    <rPh sb="0" eb="2">
      <t>ケイヤク</t>
    </rPh>
    <phoneticPr fontId="4"/>
  </si>
  <si>
    <t>契約後変更</t>
    <rPh sb="0" eb="3">
      <t>ケイヤクゴ</t>
    </rPh>
    <rPh sb="3" eb="5">
      <t>ヘンコウ</t>
    </rPh>
    <phoneticPr fontId="4"/>
  </si>
  <si>
    <t>久野(麻）</t>
    <rPh sb="0" eb="2">
      <t>クノ</t>
    </rPh>
    <rPh sb="3" eb="4">
      <t>マ</t>
    </rPh>
    <phoneticPr fontId="4"/>
  </si>
  <si>
    <t>久野(太）</t>
    <rPh sb="0" eb="2">
      <t>クノ</t>
    </rPh>
    <rPh sb="3" eb="4">
      <t>フト</t>
    </rPh>
    <phoneticPr fontId="4"/>
  </si>
  <si>
    <t>設計課長</t>
    <rPh sb="0" eb="2">
      <t>セッケイ</t>
    </rPh>
    <rPh sb="2" eb="4">
      <t>カチョウ</t>
    </rPh>
    <phoneticPr fontId="4"/>
  </si>
  <si>
    <t>プラン名</t>
    <rPh sb="3" eb="4">
      <t>メイ</t>
    </rPh>
    <phoneticPr fontId="4"/>
  </si>
  <si>
    <t>（例）24-2311(05)-024堀-AJ-NR①01</t>
    <rPh sb="1" eb="2">
      <t>レイ</t>
    </rPh>
    <phoneticPr fontId="4"/>
  </si>
  <si>
    <t>24年作成-どのﾃﾝﾌﾟﾚｰﾄか※ﾃﾝﾌﾟﾚｰﾄの日付（ﾃﾝﾌﾟﾚｰﾄ番号）-24年の何番目に作成（〇は営業の苗字の一番目）-建築地（安城ならAJ）-△施主様の苗字の一文字目□施主様の名前の一文字目①（図面番号）01（何回目の本見積か）</t>
    <rPh sb="2" eb="3">
      <t>ネン</t>
    </rPh>
    <rPh sb="3" eb="5">
      <t>サクセイ</t>
    </rPh>
    <rPh sb="25" eb="27">
      <t>ヒヅケ</t>
    </rPh>
    <rPh sb="35" eb="37">
      <t>バンゴウ</t>
    </rPh>
    <rPh sb="41" eb="42">
      <t>ネン</t>
    </rPh>
    <rPh sb="43" eb="46">
      <t>ナンバンメ</t>
    </rPh>
    <rPh sb="47" eb="49">
      <t>サクセイ</t>
    </rPh>
    <rPh sb="52" eb="54">
      <t>エイギョウ</t>
    </rPh>
    <rPh sb="55" eb="57">
      <t>ミョウジ</t>
    </rPh>
    <rPh sb="58" eb="61">
      <t>イチバンメ</t>
    </rPh>
    <rPh sb="63" eb="66">
      <t>ケンチクチ</t>
    </rPh>
    <rPh sb="67" eb="69">
      <t>アンジョウ</t>
    </rPh>
    <rPh sb="76" eb="79">
      <t>セシュサマ</t>
    </rPh>
    <rPh sb="80" eb="82">
      <t>ミョウジ</t>
    </rPh>
    <rPh sb="83" eb="87">
      <t>ヒトモジメ</t>
    </rPh>
    <rPh sb="88" eb="90">
      <t>セシュ</t>
    </rPh>
    <rPh sb="90" eb="91">
      <t>サマ</t>
    </rPh>
    <rPh sb="92" eb="94">
      <t>ナマエ</t>
    </rPh>
    <rPh sb="95" eb="99">
      <t>ヒトモジメ</t>
    </rPh>
    <rPh sb="101" eb="105">
      <t>ズメンバンゴウ</t>
    </rPh>
    <rPh sb="109" eb="112">
      <t>ナンカイメ</t>
    </rPh>
    <rPh sb="113" eb="116">
      <t>ホンミツモリ</t>
    </rPh>
    <phoneticPr fontId="4"/>
  </si>
  <si>
    <t>工事</t>
    <rPh sb="0" eb="2">
      <t>コウジ</t>
    </rPh>
    <phoneticPr fontId="4"/>
  </si>
  <si>
    <t/>
  </si>
  <si>
    <t>新築</t>
  </si>
  <si>
    <t>消費税等</t>
  </si>
  <si>
    <t>消費税等</t>
    <phoneticPr fontId="4"/>
  </si>
  <si>
    <t>切り捨て</t>
    <phoneticPr fontId="4"/>
  </si>
  <si>
    <t>仮設工事</t>
  </si>
  <si>
    <t>式</t>
  </si>
  <si>
    <t>安全対策費</t>
  </si>
  <si>
    <t>駐車場代</t>
  </si>
  <si>
    <t>※駐車スペースある場合もマイナスしない</t>
  </si>
  <si>
    <t>基本</t>
  </si>
  <si>
    <t>基礎廻り養生ｼｰﾄ</t>
  </si>
  <si>
    <t>120㎡以下</t>
  </si>
  <si>
    <t>評価式1 ≦ 評価式2</t>
  </si>
  <si>
    <t>1</t>
  </si>
  <si>
    <t>整地費用</t>
  </si>
  <si>
    <t>※整地不要の場合もマイナスしない</t>
  </si>
  <si>
    <t>外部足場組</t>
  </si>
  <si>
    <t>養生ﾈｯﾄ等含む</t>
  </si>
  <si>
    <t>㎡</t>
  </si>
  <si>
    <t>見付面積</t>
  </si>
  <si>
    <t>(【外壁[建具開口無し](全階) 面積】+【外壁巾木[建具開口無し](全階) 面積】+【妻壁 面積】+【外壁腰壁[建具開口無し](全階) 面積】+【手摺(外部) 面積】*0.8)*1.15</t>
  </si>
  <si>
    <t>(206.6628000+14.8240000+1.2119000+0.0000000+0.0000000*0.8)*1.15</t>
  </si>
  <si>
    <t>仮設ﾄｲﾚ</t>
  </si>
  <si>
    <t>廃材処分費</t>
  </si>
  <si>
    <t>施工床面積</t>
  </si>
  <si>
    <t>IF(【施工床面積[ﾄｰﾀﾙ面積表]】,【施工床面積[ﾄｰﾀﾙ面積表]】,(【部屋(全階) 面積】+【バルコニー 面積(壁芯)】))</t>
  </si>
  <si>
    <t>IF(117.3700000,117.3700000,(115.3130000+0.0000000))</t>
  </si>
  <si>
    <t>運搬費</t>
  </si>
  <si>
    <t>基礎工事</t>
  </si>
  <si>
    <t>水盛り･遣方</t>
  </si>
  <si>
    <t>ﾍﾞﾀ基礎</t>
  </si>
  <si>
    <t>基礎伏図ﾍﾞﾀ基礎面積※ない場合は1F部屋面積から集</t>
  </si>
  <si>
    <t>【床(1階) 面積[配置図ﾄｰﾀﾙ面積表]】+【ポーチ 面積】</t>
  </si>
  <si>
    <t>59.4100000+2.6109000</t>
  </si>
  <si>
    <t>人通口補強</t>
  </si>
  <si>
    <t>60㎡以下</t>
  </si>
  <si>
    <t>下地土間ｺﾝｸﾘｰﾄ</t>
  </si>
  <si>
    <t>玄関･ﾎﾟｰﾁ</t>
  </si>
  <si>
    <t>土間ﾀｲﾌﾟの部屋･ﾎﾟｰﾁ･犬走面積から集計</t>
  </si>
  <si>
    <t>【部屋面積 (1階 玄関)】+【ポーチ 面積】</t>
  </si>
  <si>
    <t>5.5897000+2.6109000</t>
  </si>
  <si>
    <t>ﾎﾟﾝﾌﾟ車</t>
  </si>
  <si>
    <t>台</t>
  </si>
  <si>
    <t>深基礎</t>
  </si>
  <si>
    <t>高低差450㎜以下</t>
  </si>
  <si>
    <t>ｍ</t>
  </si>
  <si>
    <t>積算ｼﾝﾎﾞﾙ</t>
  </si>
  <si>
    <t>布基礎</t>
  </si>
  <si>
    <t>※地盤調査結果や、既設CB積の底盤位置により、</t>
  </si>
  <si>
    <t>持出し基礎等の特殊工事が必要となった場合は</t>
  </si>
  <si>
    <t>別見積となります。</t>
  </si>
  <si>
    <t>木工事</t>
  </si>
  <si>
    <t>軸組・羽柄材・PC</t>
  </si>
  <si>
    <t>【ALL金物工法】木造構造材･羽柄材･ﾌﾟﾚｶｯﾄ</t>
  </si>
  <si>
    <t>基本　本体+付帯</t>
  </si>
  <si>
    <t>坪</t>
  </si>
  <si>
    <t>IF(【施工床面積[ﾄｰﾀﾙ面積表]】,【施工床面積[ﾄｰﾀﾙ面積表]】,【部屋(全階) 面積】+【バルコニー 面積(壁芯)】+【ポーチ 面積】)</t>
  </si>
  <si>
    <t>IF(117.3700000,117.3700000,115.3130000+0.0000000+2.6109000)</t>
  </si>
  <si>
    <t>金物費捻出</t>
  </si>
  <si>
    <t>割増A：建物難易度</t>
  </si>
  <si>
    <t>外部入隅の数</t>
  </si>
  <si>
    <t>ヶ所</t>
  </si>
  <si>
    <t>【外壁入隅(全階) ヶ所数】</t>
  </si>
  <si>
    <t>4.0000000</t>
  </si>
  <si>
    <t>割増B：2階比</t>
  </si>
  <si>
    <t>1階-2階</t>
  </si>
  <si>
    <t>評価式1 ≧ 評価式2</t>
  </si>
  <si>
    <t>59.4100000-55.8900000</t>
  </si>
  <si>
    <t>化粧柱</t>
  </si>
  <si>
    <t>化粧柱[個数]</t>
  </si>
  <si>
    <t>本</t>
  </si>
  <si>
    <t>金物費</t>
  </si>
  <si>
    <t>遠方割増</t>
  </si>
  <si>
    <t>都度計算　※西尾市、該当なし</t>
  </si>
  <si>
    <t>☆彡</t>
  </si>
  <si>
    <t>構造追加費</t>
  </si>
  <si>
    <t>基本の5％ﾍﾞｰｽ</t>
  </si>
  <si>
    <t>建材・下地材</t>
  </si>
  <si>
    <t>下地材</t>
  </si>
  <si>
    <t>IF(【施工床面積[ﾄｰﾀﾙ面積表]】,【施工床面積[ﾄｰﾀﾙ面積表]】,【施工床(全階) 面積】+【ポーチ 面積】)</t>
  </si>
  <si>
    <t>IF(117.3700000,117.3700000,117.3832000+2.6109000)</t>
  </si>
  <si>
    <t>下地材(割増)</t>
  </si>
  <si>
    <t>入隅ヶ所数</t>
  </si>
  <si>
    <t>軒天無し</t>
  </si>
  <si>
    <t>ｱｽﾉﾝ8㎜　無塗装板</t>
  </si>
  <si>
    <t>養生費・補修費捻出</t>
  </si>
  <si>
    <t>玄関框</t>
  </si>
  <si>
    <t>ﾌﾟﾚｲﾘｰﾎｰﾑｽﾞｽﾏｰﾄ框</t>
  </si>
  <si>
    <t>ｶﾏﾁ長さから集計</t>
  </si>
  <si>
    <t>【カマチ(全階) 長】</t>
  </si>
  <si>
    <t>4.5680000</t>
  </si>
  <si>
    <t>上框(挽板･無垢床用)</t>
  </si>
  <si>
    <t>W6尺 床合わせ面材貼り</t>
  </si>
  <si>
    <t>床組無し(内部土間床)</t>
  </si>
  <si>
    <t>内部土間床･ｲﾝﾅｰｶﾞﾚｰｼﾞ･外部収納等</t>
  </si>
  <si>
    <t>【床 面積 (1階 車庫等)】+【床 面積 (1階 外部部屋)】+【床 面積 (1階 玄関)】</t>
  </si>
  <si>
    <t>0.0000000+0.0000000+5.5897000</t>
  </si>
  <si>
    <t>階段(1～2階)</t>
  </si>
  <si>
    <t>標準箱型6段回り以下</t>
  </si>
  <si>
    <t>ｾｯﾄ</t>
  </si>
  <si>
    <t>【部屋 数 (1階 階段室)】</t>
  </si>
  <si>
    <t>1.0000000</t>
  </si>
  <si>
    <t>階段手摺</t>
  </si>
  <si>
    <t>丸棒手摺（金具ｶﾜｼﾞｭﾝ）</t>
  </si>
  <si>
    <t>【部屋 数 (1階 階段室)】+【部屋 数 (3階 階段室)】+【部屋 数 (R階 階段室)】</t>
  </si>
  <si>
    <t>1.0000000+0.0000000+0.0000000</t>
  </si>
  <si>
    <t>枕棚+ﾊﾟｲﾌﾟ</t>
  </si>
  <si>
    <t>W6尺以下</t>
  </si>
  <si>
    <t>【ハンガーパイプ 枕段 ヶ所数】</t>
  </si>
  <si>
    <t>6.0000000</t>
  </si>
  <si>
    <t>下地補強</t>
  </si>
  <si>
    <t>笠木</t>
  </si>
  <si>
    <t>ｺﾞﾑ集成材　ｳﾚﾀﾝ塗装</t>
  </si>
  <si>
    <t>笠木長+手摺(内部)長さから集計</t>
  </si>
  <si>
    <t>【笠木長(全階)】-【外部笠木(全階) 長】+【手摺(内部) 長】</t>
  </si>
  <si>
    <t>4.2030000-0.0000000+0.0000000</t>
  </si>
  <si>
    <t>大壁和室造作材</t>
  </si>
  <si>
    <t>付鴨居無し</t>
  </si>
  <si>
    <t>【部屋面積 (全階 和室)】</t>
  </si>
  <si>
    <t>2.6913000</t>
  </si>
  <si>
    <t>床上げ用材料（框別）</t>
  </si>
  <si>
    <t>中段・枕棚ｾｯﾄ</t>
  </si>
  <si>
    <t>【押入段 中段・枕段 ヶ所数】</t>
  </si>
  <si>
    <t>鋼板屋根遮音下地</t>
  </si>
  <si>
    <t>ﾋﾞﾙﾎﾞｰﾄﾞ9㎜</t>
  </si>
  <si>
    <t>【屋根面積】</t>
  </si>
  <si>
    <t>96.0060000</t>
  </si>
  <si>
    <t>外壁透湿防水シート</t>
  </si>
  <si>
    <t>ﾀｲﾍﾞｯｸ（ﾄﾞﾚｲﾝﾗｯﾌﾟ又はﾊｳｽﾗｯﾌﾟ）</t>
  </si>
  <si>
    <t>【妻壁 面積(軒天考慮)】+【手摺(外部) 面積】+【外壁腰壁 面積】+【外壁 面積(軒天考慮)】</t>
  </si>
  <si>
    <t>0.9237000+0.0000000+0.0000000+192.6058000</t>
  </si>
  <si>
    <t>耐力面材</t>
  </si>
  <si>
    <t>ﾀﾞｲﾗｲﾄ MS9</t>
  </si>
  <si>
    <t>枚</t>
  </si>
  <si>
    <t>外壁面積から集計</t>
  </si>
  <si>
    <t>(【外壁(全階) 面積】+【外断熱外壁腰壁(全階) 面積】+【妻壁 面積】+【手摺(外部) 面積】)*1.15/2.73</t>
  </si>
  <si>
    <t>(204.4095000+0.0000000+1.2119000+0.0000000)*1.15/2.73</t>
  </si>
  <si>
    <t>制震ﾀﾞﾝﾊﾟｰ</t>
  </si>
  <si>
    <t>MIRAIE</t>
  </si>
  <si>
    <t>4</t>
  </si>
  <si>
    <t>窓枠(掃出し3方､中連4方)</t>
  </si>
  <si>
    <t>LIXIL　ﾗｼｯｻS　ｽﾏｰﾄ10　</t>
  </si>
  <si>
    <t>外部戸の左右+幅長さ､外部窓の上下左右長さ</t>
  </si>
  <si>
    <t>【金窓(外部) (上+左+右)枠長】+【金窓(外部) 下枠長】+【金戸(外部) (上+左+右)枠長】+【金戸(外部) 下枠長】</t>
  </si>
  <si>
    <t>21.7950000+10.2150000+12.7020000+0.0000000</t>
  </si>
  <si>
    <t>化粧巾木</t>
  </si>
  <si>
    <t>LIXIL　ﾗｲﾝ巾木</t>
  </si>
  <si>
    <t>立体ﾃﾞｰﾀから集計(巾木長)</t>
  </si>
  <si>
    <t>巾木仕上(m)</t>
  </si>
  <si>
    <t>ﾆｯﾁ</t>
  </si>
  <si>
    <t>材工+ｸﾛｽ</t>
  </si>
  <si>
    <t>FB手摺りﾊｰﾌ×0.5</t>
  </si>
  <si>
    <t>FB手すりﾊｰﾌ[個数]</t>
  </si>
  <si>
    <t>換気部材（一般用・破風レス対応）</t>
  </si>
  <si>
    <t>軒+ケラバ長さ換算追加</t>
  </si>
  <si>
    <t>(1-【特長-条件０２】)*(【屋根(木造) 屋根線(軒先) 長】+【屋根(木造) 屋根線(けらば) 長】)</t>
  </si>
  <si>
    <t>(1-0.0000000)*(29.8160000+25.7950000)</t>
  </si>
  <si>
    <t>床ｶﾞﾗﾘ変更</t>
  </si>
  <si>
    <t>樹脂→オーク無垢（無塗装）</t>
  </si>
  <si>
    <t>塗装費のみ</t>
  </si>
  <si>
    <t>アーチ垂れ壁　3尺　室内</t>
  </si>
  <si>
    <t>小屋裏耐力面材：屋根勾配3寸超6寸未満</t>
  </si>
  <si>
    <t>ダイライトMS9片面張</t>
  </si>
  <si>
    <t>床養生費</t>
  </si>
  <si>
    <t>補修費</t>
  </si>
  <si>
    <t>LDK下がり天井造作下地材</t>
  </si>
  <si>
    <t>垂れ壁　水平</t>
  </si>
  <si>
    <t>3尺　クロス仕上</t>
  </si>
  <si>
    <t>床ﾌﾛｱﾀｲﾙ下地 合板</t>
  </si>
  <si>
    <t>910×1820 12㎜</t>
  </si>
  <si>
    <t>床見切</t>
  </si>
  <si>
    <t>ﾌﾛｱﾀｲﾙ面積調整分</t>
  </si>
  <si>
    <t>契変①で+1㎡</t>
  </si>
  <si>
    <t>縦格子　</t>
  </si>
  <si>
    <t>材工　参考（DAIKEN 縦格子ﾕﾆｯﾄ）</t>
  </si>
  <si>
    <t>標準外工事</t>
  </si>
  <si>
    <t>横引き延長配管</t>
  </si>
  <si>
    <t>曲がり1カ所</t>
  </si>
  <si>
    <t>ししまるくんﾇｯｸｽﾍﾟｰｽ造作追加</t>
  </si>
  <si>
    <t>材工</t>
  </si>
  <si>
    <t>ﾗﾝﾄﾞﾘｰﾛｰﾌﾟ</t>
  </si>
  <si>
    <t>KAWAJUN SE-149-SC ﾎﾜｲﾄ</t>
  </si>
  <si>
    <t>ﾗﾝﾄﾞﾘｰﾛｰﾌﾟ施工費</t>
  </si>
  <si>
    <t>天井埋込ｶｰﾃﾝBOX造作</t>
  </si>
  <si>
    <t>W2700</t>
  </si>
  <si>
    <t>ﾄｲﾚ壁ﾆｯﾁ</t>
  </si>
  <si>
    <t>●33調整分</t>
  </si>
  <si>
    <t>電気設備用点検口</t>
  </si>
  <si>
    <t>300角　材工</t>
  </si>
  <si>
    <t>個</t>
  </si>
  <si>
    <t>大工手間</t>
  </si>
  <si>
    <t>基本手間</t>
  </si>
  <si>
    <t>【ALL金物工法】</t>
  </si>
  <si>
    <t>IF(【延床面積[ﾄｰﾀﾙ面積表]】,【延床面積[ﾄｰﾀﾙ面積表]】,(【部屋(全階) 面積】))</t>
  </si>
  <si>
    <t>IF(115.3000000,115.3000000,(115.3130000))</t>
  </si>
  <si>
    <t>外周入隅（玄関は基本に含む・袖壁は必要）</t>
  </si>
  <si>
    <t>ﾍﾞﾗﾝﾀﾞ･ﾎﾟｰﾁ･ﾃﾗｽ</t>
  </si>
  <si>
    <t>【施工床面積[ﾄｰﾀﾙ面積表]】-【延床面積[ﾄｰﾀﾙ面積表]】-【部屋面積 (全階 吹抜)】</t>
  </si>
  <si>
    <t>117.3700000-115.3000000-0.0000000</t>
  </si>
  <si>
    <t>新ﾃﾝﾌﾟﾚｰﾄ用調整費</t>
  </si>
  <si>
    <t>片引き戸造作手間</t>
  </si>
  <si>
    <t>下屋</t>
  </si>
  <si>
    <t>床㎡(1階-2階) 6寸未満</t>
  </si>
  <si>
    <t>外部耐力面材貼り(ﾀﾞｲﾗｲﾄ)</t>
  </si>
  <si>
    <t>床㎡</t>
  </si>
  <si>
    <t>IF(【延床面積[ﾄｰﾀﾙ面積表]】,【延床面積[ﾄｰﾀﾙ面積表]】,【部屋(全階) 面積】)</t>
  </si>
  <si>
    <t>IF(115.3000000,115.3000000,115.3130000)</t>
  </si>
  <si>
    <t>軒天下地</t>
  </si>
  <si>
    <t>5㎡まで基本に含む</t>
  </si>
  <si>
    <t>◎計算式</t>
  </si>
  <si>
    <t>評価式1 ＞ 評価式2</t>
  </si>
  <si>
    <t>28.9272000-5</t>
  </si>
  <si>
    <t>軒天張り手間</t>
  </si>
  <si>
    <t>中段･枕棚取付</t>
  </si>
  <si>
    <t>基本 4ヶ所</t>
  </si>
  <si>
    <t>1.0000000+6.0000000-4</t>
  </si>
  <si>
    <t>階段（非フルプレカット）</t>
  </si>
  <si>
    <t>階段下収納・トイレ　造作</t>
  </si>
  <si>
    <t>床ガラリ取付</t>
  </si>
  <si>
    <t>壁・天井　断熱材手間　</t>
  </si>
  <si>
    <t>床㎡換算</t>
  </si>
  <si>
    <t>【延床面積[ﾄｰﾀﾙ面積表]】</t>
  </si>
  <si>
    <t>115.3000000</t>
  </si>
  <si>
    <t>省令準耐火手間代</t>
  </si>
  <si>
    <t>床上げ加工</t>
  </si>
  <si>
    <t>畳ｺｰﾅｰ・小上がり・ｽｷｯﾌﾟﾌﾛｱ</t>
  </si>
  <si>
    <t>壁ふかし工事</t>
  </si>
  <si>
    <t>建て方ﾚｯｶｰ費</t>
  </si>
  <si>
    <t>定数1式</t>
  </si>
  <si>
    <t>【含み予算】瑕疵担保責任保険 JIO</t>
  </si>
  <si>
    <t>基本(100㎡未満)</t>
  </si>
  <si>
    <t>100㎡以上の追加分</t>
  </si>
  <si>
    <t>115.3000000-100</t>
  </si>
  <si>
    <t>【含み予算】二次防水検査費用</t>
  </si>
  <si>
    <t>JIO</t>
  </si>
  <si>
    <t>【含み予算】地盤調査･保証</t>
  </si>
  <si>
    <t>JHS 20年保証+液状化</t>
  </si>
  <si>
    <t>【含み予算】設備保証</t>
  </si>
  <si>
    <t>延長10年 Solvvy</t>
  </si>
  <si>
    <t>【含み予算】地震保証</t>
  </si>
  <si>
    <t>ｱｾｯﾄｼﾞｬﾊﾟﾝ</t>
  </si>
  <si>
    <t>【含み予算】現場調査費</t>
  </si>
  <si>
    <t>LDK下がり天井造作</t>
  </si>
  <si>
    <t>追加手間</t>
  </si>
  <si>
    <t>1階床 無垢ﾌﾛｰﾘﾝｸﾞ（標準）</t>
  </si>
  <si>
    <t>北恵　※施工費込</t>
  </si>
  <si>
    <t>【床 面積 (1階 ホール・廊下)】+【床 面積 (1階 食事室)】+【床 面積 (1階 居間)】+【床 面積 (1階 台所)】+【床 面積 (1階 洋室)】+【床 面積 (1階 寝室)】+【床 面積 (1階 子供室)】+【床 面積 (1階 書斎)】+【床 面積 (1階 収納)】+【床 面積 (1階 ｳｫｰｸｲﾝｸﾛｰｾﾞｯﾄ)】+【床 面積 (1階 その他)】+【床 面積 (1階 小屋裏収納)】+【床 面積 (1階 階段室)】</t>
  </si>
  <si>
    <t>4.9686000+0.0000000+0.0000000+31.2608000+0.0000000+0.0000000+0.0000000+0.0000000+1.6562000+0.0000000+0.0000000+0.0000000+0.8281000</t>
  </si>
  <si>
    <t>2階床 ﾌﾛｰﾘﾝｸﾞ貼</t>
  </si>
  <si>
    <t>朝日ｳｯﾄﾞﾃｯｸ MRX3P</t>
  </si>
  <si>
    <t>【床 面積 (2階 ホール・廊下)】+【床 面積 (2階 食事室)】+【床 面積 (2階 居間)】+【床 面積 (2階 台所)】+【床 面積 (2階 洋室)】+【床 面積 (2階 寝室)】+【床 面積 (2階 子供室)】+【床 面積 (2階 書斎)】+【床 面積 (2階 収納)】+【床 面積 (2階 ｳｫｰｸｲﾝｸﾛｰｾﾞｯﾄ)】+【床 面積 (2階 小屋裏収納)】+【床 面積 (2階 その他)】+【床 面積 (2階 小屋裏収納)】</t>
  </si>
  <si>
    <t>6.2108000+0.0000000+0.0000000+0.0000000+37.2645000+0.0000000+0.0000000+0.0000000+7.4529000+0.0000000+0.0000000+0.0000000+0.0000000</t>
  </si>
  <si>
    <t>水廻り床</t>
  </si>
  <si>
    <t>ｲｸﾀ ｸﾙｰﾄﾞﾌﾛｰﾘﾝｸﾞ　※ｼﾞｮｲﾝﾄｼｰﾙ施工</t>
  </si>
  <si>
    <t>【床 面積 (全階 洗面所)】+【床 面積 (全階 脱衣室)】+【床 面積 (全階 便所)】</t>
  </si>
  <si>
    <t>7.4529000+0.0000000+3.3124000</t>
  </si>
  <si>
    <t>断熱工事</t>
  </si>
  <si>
    <t>基礎断熱</t>
  </si>
  <si>
    <t>基礎断熱 外周立上り(内側)</t>
  </si>
  <si>
    <t>ｶﾈﾗｲﾄﾌｫｰﾑFX t50　ﾌﾟﾚｶｯﾄ品を3'×6'品単価に</t>
  </si>
  <si>
    <t>ROUNDUP((【部屋線(1階) 外部長】+【部屋線(1階) 外部長】/5*1.82)/1.82/2,0)</t>
  </si>
  <si>
    <t>ROUNDUP((34.5800000+34.5800000/5*1.82)/1.82/2,0)</t>
  </si>
  <si>
    <t>基礎断熱 外周土間</t>
  </si>
  <si>
    <t>ｶﾈﾗｲﾄﾌｫｰﾑFX t50　3'×6'品素材単価</t>
  </si>
  <si>
    <t>ROUNDUP(【部屋線(1階) 外部長】/1.82,0)</t>
  </si>
  <si>
    <t>ROUNDUP(34.5800000/1.82,0)</t>
  </si>
  <si>
    <t>内部土間床</t>
  </si>
  <si>
    <t>ROUNDUP((【部屋面積 (1階 玄関)】+【部屋面積 (1階 外部部屋)】+【部屋面積 (1階 勝手口)】)/1.65,0)</t>
  </si>
  <si>
    <t>ROUNDUP((5.5897000+0.0000000+0.0000000)/1.65,0)</t>
  </si>
  <si>
    <t>内部・ポーチ部土間床</t>
  </si>
  <si>
    <t>ｶﾈﾗｲﾄﾌｫｰﾑ　ｽｰﾊﾟｰE-Ⅰ・t=100㎜</t>
  </si>
  <si>
    <t>(【部屋面積 (1階 玄関)】+【部屋面積 (1階 外部部屋)】+【部屋面積 (1階 勝手口)】+【ポーチ 面積】)/1.65*2</t>
  </si>
  <si>
    <t>(5.5897000+0.0000000+0.0000000+2.6109000)/1.65*2</t>
  </si>
  <si>
    <t>気密工事</t>
  </si>
  <si>
    <t>可変透湿気密ｼｰﾄ</t>
  </si>
  <si>
    <t>すかっとｼｰﾄﾌﾟﾚﾐｱﾑ</t>
  </si>
  <si>
    <t>ROUNDUP((【部屋(1階) 面積】+1.5*3*4+【オーバーハング部屋(全階) 面積】)*1.15/75,0)</t>
  </si>
  <si>
    <t>ROUNDUP((59.4162000+1.5*3*4+0.0000000)*1.15/75,0)</t>
  </si>
  <si>
    <t>気密ﾃｰﾌﾟ 20m/巻</t>
  </si>
  <si>
    <t>20巻/ｹｰｽ</t>
  </si>
  <si>
    <t>ｹｰｽ</t>
  </si>
  <si>
    <t>ROUNDUP((【外壁(全階) 面積】+【部屋(1階) 面積】+【オーバーハング部屋(全階) 面積】)*2/400+1,0)</t>
  </si>
  <si>
    <t>ROUNDUP((204.4095000+59.4162000+0.0000000)*2/400+1,0)</t>
  </si>
  <si>
    <t>気密ｼｰﾄ貼り手間</t>
  </si>
  <si>
    <t>【部屋(1階) 面積】+【バルコニー下部の部屋(全階) 面積】+【オーバーハング部屋(全階) 面積】</t>
  </si>
  <si>
    <t>59.4162000+0.0000000+0.0000000</t>
  </si>
  <si>
    <t>気流止め 断熱材充填</t>
  </si>
  <si>
    <t>気密手間</t>
  </si>
  <si>
    <t>壁断熱材</t>
  </si>
  <si>
    <t>ﾊﾟｰﾌｪｸﾄﾊﾞﾘｱ 13K106㎜</t>
  </si>
  <si>
    <t>外気に接する桁下まで面積から集計</t>
  </si>
  <si>
    <t>(【部屋線(1階) 外部長】*3.3)+(【部屋線(2階) 外部長】*3.3)+(【部屋線(R階) 外部長】*3.3)-【外部建具 面積合計】+【妻壁 面積】</t>
  </si>
  <si>
    <t>(34.5800000*3.3)+(31.8500000*3.3)+(0.0000000*3.3)-16.2192000+1.2119000</t>
  </si>
  <si>
    <t>天井断熱材</t>
  </si>
  <si>
    <t>ﾊﾟｰﾌｪｸﾄﾊﾞﾘｱ 13K240㎜</t>
  </si>
  <si>
    <t>屋根下部屋面積から水平投影面積で集計</t>
  </si>
  <si>
    <t>【床(1階) 面積[配置図ﾄｰﾀﾙ面積表]】+【バルコニー下部の部屋(全階) 面積】+【オーバーハング部屋(全階) 面積】</t>
  </si>
  <si>
    <t>59.4100000+0.0000000+0.0000000</t>
  </si>
  <si>
    <t>2階直下天井吸音材</t>
  </si>
  <si>
    <t>ﾊﾟｰﾌｪｸﾄﾊﾞﾘｱ 10K70㎜</t>
  </si>
  <si>
    <t>【部屋(R階) 面積】-【オーバーハング部屋(R階) 面積】+【部屋(2階) 面積】-【オーバーハング部屋(2階) 面積】</t>
  </si>
  <si>
    <t>0.0000000-0.0000000+55.8968000-0.0000000</t>
  </si>
  <si>
    <t>屋根工事</t>
  </si>
  <si>
    <t>小屋裏換気(瓦屋根用)</t>
  </si>
  <si>
    <t>平板瓦葺（切妻/寄棟）</t>
  </si>
  <si>
    <t>ｾﾗﾑFF程度　標準勾配　ｼｽﾃﾑ瓦対応</t>
  </si>
  <si>
    <t>立体ﾃﾞｰﾀから集計(屋根面積)</t>
  </si>
  <si>
    <t>屋根仕上</t>
  </si>
  <si>
    <t>板金・樋工事</t>
  </si>
  <si>
    <t>軒樋</t>
  </si>
  <si>
    <t>ﾕﾆｼｪｲﾌﾟUST140</t>
  </si>
  <si>
    <t>屋根S 軒樋長さから集計 ※ない場合は簡易計算</t>
  </si>
  <si>
    <t>29.8160000</t>
  </si>
  <si>
    <t>集水器</t>
  </si>
  <si>
    <t>屋根S 集水器数から集計 ※ない場合は簡易計算</t>
  </si>
  <si>
    <t>ROUNDUP(12.9691000/45,0)+ROUNDUP(83.0369000/45,0)+ROUNDUP(0.0000000/45,0)+0.0000000</t>
  </si>
  <si>
    <t>竪樋</t>
  </si>
  <si>
    <t>ﾕﾆｼｪｲﾌﾟURT60</t>
  </si>
  <si>
    <t>屋根S 竪樋長さから集計 ※ない場合は簡易計算</t>
  </si>
  <si>
    <t>ROUNDUP(12.9691000/45+0.0000000,0)*(3.1350000+0.4500000)+ROUNDUP(83.0369000/45+0.0000000,0)*(2.8000000+3.1350000+0.4500000)+ROUNDDOWN(0.0000000/45,0)*(0.0000000+2.8000000+3.1350000+0.4500000)</t>
  </si>
  <si>
    <t>外部建具工事</t>
  </si>
  <si>
    <t>FIX窓（F）　07409</t>
  </si>
  <si>
    <t>標準樹脂ｻｯｼ(ﾄﾘﾌﾟﾙ)YKKap『APW430』</t>
  </si>
  <si>
    <t>金属建具 1</t>
  </si>
  <si>
    <t>FIX窓（F）　11909</t>
  </si>
  <si>
    <t>単体引違い窓（HH）　16005</t>
  </si>
  <si>
    <t>単体引違い窓（HH）　16009</t>
  </si>
  <si>
    <t>★単体引違い窓（HH）　25122-2　ｻﾎﾟｰﾄﾊﾝﾄﾞﾙ</t>
  </si>
  <si>
    <t>大判ｶﾞﾗｽ施工費</t>
  </si>
  <si>
    <t>H22以上(★印サッシ)</t>
  </si>
  <si>
    <t>玄関ドア　片開き　手動錠</t>
  </si>
  <si>
    <t>YKKapヴェナートD30　F01N 型　D2仕様</t>
  </si>
  <si>
    <t>電気錠　YKKap</t>
  </si>
  <si>
    <t>ポケットキー　電源共</t>
  </si>
  <si>
    <t>内外観ブラック色　追加費用</t>
  </si>
  <si>
    <t>YKKap『APW430/431』　(サッシ価格の10％)</t>
  </si>
  <si>
    <t>FIX窓（F）　16003</t>
  </si>
  <si>
    <t>内部建具工事</t>
  </si>
  <si>
    <t>可動棚10枚　W4.5尺・ﾌｨｯﾄﾗｯｸ（SC419a）</t>
  </si>
  <si>
    <t>可動棚5枚 W6.0尺･D450まで</t>
  </si>
  <si>
    <t>可動棚5枚　W6.0尺・ﾌｨｯﾄﾗｯｸ（SC619a）</t>
  </si>
  <si>
    <t>標準ﾄﾞｱ　ﾊﾟﾈﾙﾀｲﾌﾟ　LAA　ｼｰｸﾚｯﾄﾄﾞｱｽﾄｯﾊﾟｰ</t>
  </si>
  <si>
    <t>LIXIL　ﾗｼｯｻS</t>
  </si>
  <si>
    <t>片引戸ﾄｲﾚ　上吊　LAA　表示錠・明り採り付　Wｿﾌﾄﾓｰｼｮﾝ</t>
  </si>
  <si>
    <t>標準ｱｳﾄｾｯﾄ片引戸　ﾊﾟﾈﾙﾀｲﾌﾟ　LAA　Wｿﾌﾄﾓｰｼｮﾝ</t>
  </si>
  <si>
    <t>標準ｸﾛｰｾﾞｯﾄﾄﾞｱ　折戸　ﾉﾝﾚｰﾙ　LAA　W3尺</t>
  </si>
  <si>
    <t>標準ﾄﾞｱ　RGV　ﾗｲﾝ枠　ｼｰｸﾚｯﾄﾄﾞｱｽﾄｯﾊﾟｰ</t>
  </si>
  <si>
    <t>LIXIL　ﾗﾌｨｽ</t>
  </si>
  <si>
    <t>標準片引戸　RAA　ｶﾞｲﾄﾞﾋﾟﾝ　Wｿﾌﾄﾓｰｼｮﾝ</t>
  </si>
  <si>
    <t>標準片引戸+表示錠　RAA　ｶﾞｲﾄﾞﾋﾟﾝ　Wｿﾌﾄﾓｰｼｮﾝ</t>
  </si>
  <si>
    <t>標準ｸﾛｰｾﾞｯﾄﾄﾞｱ　ﾉﾝﾚｰﾙ　6.0尺折戸　RAD　ﾗｲﾝ枠</t>
  </si>
  <si>
    <t>片引戸　RAA　天井埋込</t>
  </si>
  <si>
    <t>室内窓　LIXIL ﾃﾞｺﾏﾄﾞ</t>
  </si>
  <si>
    <t>（特寸） W780 H400 (見積No.M2509829-001)</t>
  </si>
  <si>
    <t>片引戸　RZA　天井埋込　Wｿﾌﾄﾓｰｼｮﾝ</t>
  </si>
  <si>
    <t>LIXIL　ﾗﾌｨｽ　ｱﾙﾐｶﾞﾗｽ建具 ｸﾘｱｸﾞﾚｰ/ﾌﾛｽﾄﾎﾜｲﾄ</t>
  </si>
  <si>
    <t>収納棚　ししまるくんﾇｯｸｽﾍﾟｰｽ上部</t>
  </si>
  <si>
    <t>材工　ｱｲｶ ﾎﾟｽﾄﾌｫｰﾑｶｳﾝﾀｰ KLA□4DV</t>
  </si>
  <si>
    <t>ﾇｯｸ側からの固定棚板</t>
  </si>
  <si>
    <t>外装工事</t>
  </si>
  <si>
    <t>外壁 出隅ｺｰﾅｰ</t>
  </si>
  <si>
    <t>KMEW L出隅/ﾆﾁﾊ同質出隅/鋼板</t>
  </si>
  <si>
    <t>ｺｰﾅｰ役物長から集計</t>
  </si>
  <si>
    <t>【コーナー役物(1)(全階) 長】+【コーナー役物(2)(全階) 長】+【コーナー役物(3)(全階) 長】+【コーナー役物(4)(全階) 長】+【コーナー役物(5)(全階) 長】+【コーナー役物(6)(全階) 長】+【コーナー役物(7)(全階) 長】+【コーナー役物(8)(全階) 長】+【コーナー役物(9)(全階) 長】+【コーナー役物(10)(全階) 長】</t>
  </si>
  <si>
    <t>39.6310000+0.0000000+0.0000000+0.0000000+0.0000000+0.0000000+0.0000000+0.0000000+0.0000000+0.0000000</t>
  </si>
  <si>
    <t>破風･鼻隠し</t>
  </si>
  <si>
    <t>SGL鋼板(ﾆｽｸｶﾗｰPro)</t>
  </si>
  <si>
    <t>屋根線 軒先+けらば長さから集計</t>
  </si>
  <si>
    <t>【屋根線(軒先) 長】+【屋根線(けらば) 長】</t>
  </si>
  <si>
    <t>29.8160000+25.7950000</t>
  </si>
  <si>
    <t>残材処理費</t>
  </si>
  <si>
    <t>【外壁腰壁 面積(軒天考慮)】+【外壁 面積(軒天考慮)】+【妻壁 面積(軒天考慮)】+【手摺(外部) 面積】+【ﾊﾟﾗﾍﾟｯﾄ(一般)天端長】*【ﾊﾟﾗﾍﾟｯﾄ(一般)高】</t>
  </si>
  <si>
    <t>0.0000000+192.6058000+0.9237000+0.0000000+0.0000000*0.0000000</t>
  </si>
  <si>
    <t>外壁 ｻｲﾃﾞｨﾝｸﾞ横張り 標準品</t>
  </si>
  <si>
    <t>KMEWﾈｵﾛｯｸ光ｾﾗ18(ｾﾗﾄﾋﾟｱ以外) WM防鼠付ｽﾘﾑ水切</t>
  </si>
  <si>
    <t>立体ﾃﾞｰﾀから集計(外部壁面積)</t>
  </si>
  <si>
    <t>外部 壁仕上</t>
  </si>
  <si>
    <t>軒天</t>
  </si>
  <si>
    <t>ｱｽﾉﾝ8㎜　ｶﾗｰ品(ｴﾝﾎﾞｽ程度)</t>
  </si>
  <si>
    <t>【外部天井 面積】</t>
  </si>
  <si>
    <t>28.9272000</t>
  </si>
  <si>
    <t>ｵｰﾊﾞｰﾊﾝｸﾞ水切り</t>
  </si>
  <si>
    <t>WMｽﾘﾑｵｰﾊﾞｰﾊﾝｸﾞ</t>
  </si>
  <si>
    <t>左官工事</t>
  </si>
  <si>
    <t>基礎巾木 防蟻弾性ﾓﾙﾀﾙ塗り</t>
  </si>
  <si>
    <t>基礎巾木　CTﾊﾞﾘﾔ</t>
  </si>
  <si>
    <t>下地調整材</t>
  </si>
  <si>
    <t>(【外壁巾木 面積】*1.25)/7</t>
  </si>
  <si>
    <t>(14.8240000*1.25)/7</t>
  </si>
  <si>
    <t>本塗材</t>
  </si>
  <si>
    <t>(【外壁巾木 面積】*1.25)/9</t>
  </si>
  <si>
    <t>(14.8240000*1.25)/9</t>
  </si>
  <si>
    <t>ﾄｯﾌﾟｺｰﾄ</t>
  </si>
  <si>
    <t>(【外壁巾木 面積】*1.25)/18</t>
  </si>
  <si>
    <t>(14.8240000*1.25)/18</t>
  </si>
  <si>
    <t>基礎 ﾓﾙﾀﾙ刷毛引き</t>
  </si>
  <si>
    <t>防蟻弾性ﾓﾙﾀﾙ塗布 材工</t>
  </si>
  <si>
    <t>立体ﾃﾞｰﾀから集計(外部巾木面積)</t>
  </si>
  <si>
    <t>外部 巾木仕上</t>
  </si>
  <si>
    <t>玄関･ﾎﾟｰﾁ ﾀｲﾙ下地</t>
  </si>
  <si>
    <t>均しﾓﾙﾀﾙ程度　17.5㎡以下</t>
  </si>
  <si>
    <t>タイル工事</t>
  </si>
  <si>
    <t>玄関･ﾎﾟｰﾁ ﾀｲﾙ貼り</t>
  </si>
  <si>
    <t>標準ﾀｲﾙ 300角　材工</t>
  </si>
  <si>
    <t>202407新単価20％UP</t>
  </si>
  <si>
    <t>【ポーチ 面積】+【ポーチ 側面面積】+【床 面積 (1階 玄関)】+【巾木仕上 面積 (1階 玄関)】</t>
  </si>
  <si>
    <t>2.6109000+1.2008000+5.5897000+2.1907000</t>
  </si>
  <si>
    <t>塗装工事</t>
  </si>
  <si>
    <t>室内木部塗装</t>
  </si>
  <si>
    <t>20m又は㎡以下</t>
  </si>
  <si>
    <t>内装工事</t>
  </si>
  <si>
    <t>ﾀﾀﾐ</t>
  </si>
  <si>
    <t>半帖（特寸）へり無し 和紙表（銀白/清流）</t>
  </si>
  <si>
    <t>ｸﾛｽ工事(一般部)</t>
  </si>
  <si>
    <t>壁･天井 SP級(無地)　収納6/ｱｸｾﾝﾄ4以下</t>
  </si>
  <si>
    <t>ｸﾛｽ工事(下り天井部)</t>
  </si>
  <si>
    <t>ｷｯﾁﾝ･ﾊﾟﾝﾄﾘｰ　ﾌﾛｱﾀｲﾙ工事</t>
  </si>
  <si>
    <t>住宅設備機器工事</t>
  </si>
  <si>
    <t>ｷｯﾁﾝｾｯﾄ　壁付型　I-255　</t>
  </si>
  <si>
    <t>標準【ｵﾘｼﾞﾅﾙ/ES/Bb/ｵﾌｪﾘｱ】　ｷｯﾁﾝﾊﾟﾈﾙ共</t>
  </si>
  <si>
    <t>ｶｯﾌﾟﾎﾞｰﾄﾞ</t>
  </si>
  <si>
    <t>予算組</t>
  </si>
  <si>
    <t>ｷｯﾁﾝ標準水栓:ﾀｶｷﾞ浄水器内蔵ﾀｯﾁﾚｽ水栓</t>
  </si>
  <si>
    <t>『LC(ﾒｯｷ)』節湯A1+C1+B LC122M</t>
  </si>
  <si>
    <t>UB 1616</t>
  </si>
  <si>
    <t>TOTO『ｻｻﾞﾅ(S)』/LIXIL『AX』/Panasonic『ｵﾌﾛｰﾗ』</t>
  </si>
  <si>
    <t>ﾄｲﾚ:TOTOｼｬﾜｰﾄｲﾚ一体型</t>
  </si>
  <si>
    <t>ZJ2</t>
  </si>
  <si>
    <t>【部屋 数 (1階 便所)】+【部屋 数 (2階 便所)】</t>
  </si>
  <si>
    <t>1.0000000+1.0000000</t>
  </si>
  <si>
    <t>造作洗面化粧台</t>
  </si>
  <si>
    <t>予算組※詳細は打合せによる</t>
  </si>
  <si>
    <t>ﾀｵﾙ掛け</t>
  </si>
  <si>
    <t>標準品</t>
  </si>
  <si>
    <t>部屋(ﾄｲﾚ)数を集計</t>
  </si>
  <si>
    <t>【部屋 数 (全階 便所)】</t>
  </si>
  <si>
    <t>2.0000000</t>
  </si>
  <si>
    <t>ﾍﾟｰﾊﾟｰﾎﾙﾀﾞ</t>
  </si>
  <si>
    <t>給水栓付き洗濯ﾊﾟﾝ</t>
  </si>
  <si>
    <t>ﾀﾌﾞﾁ SP1391NJ+HPY/T-50W 640×640×120</t>
  </si>
  <si>
    <t>ﾋｰﾄﾎﾟﾝﾌﾟ式給湯器（Aｼﾘｰｽﾞ）</t>
  </si>
  <si>
    <t>ｴｺｷｭｰﾄ角型370L 高圧型 ｺﾝｸﾘｰﾄ架台</t>
  </si>
  <si>
    <t>ﾄｲﾚ:Panasonicﾀﾝｸﾚｽﾄｲﾚ</t>
  </si>
  <si>
    <t>ｱﾗｳｰﾉ S160ｼﾘｰｽﾞ ﾎﾜｲﾄ</t>
  </si>
  <si>
    <t>給排水設備工事</t>
  </si>
  <si>
    <t>給排水基本工事</t>
  </si>
  <si>
    <t>給排水6ヶ所以下･給湯3ヶ所以下･機器取付</t>
  </si>
  <si>
    <t>電気設備工事</t>
  </si>
  <si>
    <t>仮設電気</t>
  </si>
  <si>
    <t>片切ｽｲｯﾁ</t>
  </si>
  <si>
    <t>ﾎﾀﾙ</t>
  </si>
  <si>
    <t>【部屋(全階) 居室の数】+【部屋 数 (全階 玄関)】+【部屋 数 (全階 便所)】+【部屋 数 (全階 浴室(ﾕﾆｯﾄﾊﾞｽ))】+【部屋 数 (全階 脱衣室)】+【部屋 数 (全階 洗面所)】+【部屋 数 (全階 吹抜)】+【部屋 数 (全階 小屋裏収納)】+【部屋 数 (全階 床の間・仏間)】+4</t>
  </si>
  <si>
    <t>6.0000000+2.0000000+2.0000000+1.0000000+0.0000000+2.0000000+0.0000000+0.0000000+0.0000000+4</t>
  </si>
  <si>
    <t>3路4路ｽｲｯﾁ</t>
  </si>
  <si>
    <t>【部屋 数 (全階 ホール・廊下)】*2+【部屋 数 (全階 居間)】*2+【部屋 数 (全階 台所)】*2+【部屋 数 (全階 階段室)】*2+【部屋 数 (全階 車庫等)】*2</t>
  </si>
  <si>
    <t>3.0000000*2+0.0000000*2+1.0000000*2+2.0000000*2+0.0000000*2</t>
  </si>
  <si>
    <t>電灯配線</t>
  </si>
  <si>
    <t>【部屋(全階) 全部屋の数】+【部屋 数 (全階 居間)】+【部屋 数 (全階 ホール・廊下)】+【部屋 数 (全階 玄関)】+12</t>
  </si>
  <si>
    <t>21.0000000+0.0000000+3.0000000+2.0000000+12</t>
  </si>
  <si>
    <t>一般ｺﾝｾﾝﾄ</t>
  </si>
  <si>
    <t>2口</t>
  </si>
  <si>
    <t>【部屋(全階) 居室の数】*2+【部屋(全階) 外部部屋の数】*2+【部屋 数 (全階 ホール・廊下)】*2+【部屋 数 (全階 居間)】*2+【部屋 数 (全階 床の間・仏間)】+【部屋 数 (全階 ｳｫｰｸｲﾝｸﾛｰｾﾞｯﾄ)】+【部屋 数 (全階 脱衣室)】+【部屋 数 (全階 洗面所)】+【部屋 数 (全階 階段室)】+【部屋 数 (全階 小屋裏収納)】</t>
  </si>
  <si>
    <t>6.0000000*2+0.0000000*2+3.0000000*2+0.0000000*2+0.0000000+0.0000000+0.0000000+2.0000000+2.0000000+0.0000000</t>
  </si>
  <si>
    <t>E付標準ｺﾝｾﾝﾄ</t>
  </si>
  <si>
    <t>UB･冷蔵庫･ﾚﾝｼﾞﾌｰﾄﾞ･WC･洗濯機･その他</t>
  </si>
  <si>
    <t>OR(【部屋 数 (全階 居間)】,【部屋 数 (全階 台所)】)*2+【部屋 数 (全階 便所)】+OR(【部屋 数 (全階 浴室(ﾕﾆｯﾄﾊﾞｽ))】,【部屋 数 (全階 浴室(在来))】)+OR(【部屋 数 (全階 脱衣室)】,【部屋 数 (全階 洗面所)】)</t>
  </si>
  <si>
    <t>OR(0.0000000,1.0000000)*2+2.0000000+OR(1.0000000,0.0000000)+OR(0.0000000,2.0000000)</t>
  </si>
  <si>
    <t>E付専用ｺﾝｾﾝﾄ</t>
  </si>
  <si>
    <t>電子ﾚﾝｼﾞ･食洗機</t>
  </si>
  <si>
    <t>OR(【部屋 数 (全階 居間)】,【部屋 数 (全階 台所)】)*2</t>
  </si>
  <si>
    <t>OR(0.0000000,1.0000000)*2</t>
  </si>
  <si>
    <t>自動水栓用ｺﾝｾﾝﾄ</t>
  </si>
  <si>
    <t>E付100V</t>
  </si>
  <si>
    <t>OR(【部屋 数 (全階 居間)】,【部屋 数 (全階 台所)】)</t>
  </si>
  <si>
    <t>OR(0.0000000,1.0000000)</t>
  </si>
  <si>
    <t>ｴｱｺﾝ用ｺﾝｾﾝﾄ</t>
  </si>
  <si>
    <t>【部屋(全階) 居室の数】</t>
  </si>
  <si>
    <t>TV配線</t>
  </si>
  <si>
    <t>AV配管</t>
  </si>
  <si>
    <t>壁掛TV用 φ36 ※壁下地工事別途</t>
  </si>
  <si>
    <t>防水ｺﾝｾﾝﾄ</t>
  </si>
  <si>
    <t>TEL･INT用引込配管工事</t>
  </si>
  <si>
    <t>φ22 ｼﾝｸﾞﾙ配管</t>
  </si>
  <si>
    <t>LAN配線(ﾓｼﾞｭﾗｼﾞｬｯｸ付）</t>
  </si>
  <si>
    <t>CAT6 ※配管工事別途</t>
  </si>
  <si>
    <t>火災警報器(煙感知型)</t>
  </si>
  <si>
    <t>連動型 Panasonicけむり当番　黒/白/ﾍﾞｰｼﾞｭ</t>
  </si>
  <si>
    <t>【部屋(全階) 居室の数】+【部屋 数 (全階 居間)】+【部屋 数 (全階 ホール・廊下)】-【部屋 数 (1階 ホール・廊下)】</t>
  </si>
  <si>
    <t>6.0000000+0.0000000+3.0000000-2.0000000</t>
  </si>
  <si>
    <t>取付費</t>
  </si>
  <si>
    <t>ﾎｰﾑ保安灯</t>
  </si>
  <si>
    <t>Panasonic WTF4088W/F/H･WT</t>
  </si>
  <si>
    <t>ｴｱｺﾝｽﾘｰﾌﾞ･ﾀﾞｸﾄ周り工事</t>
  </si>
  <si>
    <t>省令準耐火対応ﾌﾟﾚｰﾄ</t>
  </si>
  <si>
    <t>ﾃﾚﾋﾞﾄﾞｱﾎﾝ</t>
  </si>
  <si>
    <t>ｱｲﾎﾝ JS-12E</t>
  </si>
  <si>
    <t>ｲﾝﾀｰﾎﾝ取付費</t>
  </si>
  <si>
    <t>幹線引込・分電盤</t>
  </si>
  <si>
    <t>太陽光対応分電盤変更</t>
  </si>
  <si>
    <t>【その他-条件０４】</t>
  </si>
  <si>
    <t>0.0000000</t>
  </si>
  <si>
    <t>スマートコスモ分電盤変更</t>
  </si>
  <si>
    <t>太陽光対応分電盤からの差額</t>
  </si>
  <si>
    <t>【特長-条件０４】</t>
  </si>
  <si>
    <t>HEMS本体</t>
  </si>
  <si>
    <t>Panasonic　AiSEG3（ｹﾞｰﾄｳｪｲ）</t>
  </si>
  <si>
    <t>HEMS設定</t>
  </si>
  <si>
    <t>電力会社申請費</t>
  </si>
  <si>
    <t>※HEMS機器に関しては、選定する太陽光ｼｽﾃﾑ等の</t>
  </si>
  <si>
    <t>関連設備により、必要に応じて調整します。</t>
  </si>
  <si>
    <t>換気システム工事</t>
  </si>
  <si>
    <t>熱交換型第一種24時間換気ｼｽﾃﾑ</t>
  </si>
  <si>
    <t>【本体】Panasonic（123㎡以下）小2</t>
  </si>
  <si>
    <t>103.0000 ＜ 評価式1 ≦ 123.0000</t>
  </si>
  <si>
    <t>【ﾀﾞｸﾄ材等】断熱防火ﾀﾞｸﾄ使用</t>
  </si>
  <si>
    <t>取付施工費(基本ｾｯﾄ・2台以下)</t>
  </si>
  <si>
    <t>電源工事 単相100V</t>
  </si>
  <si>
    <t>屋外ﾌｰﾄﾞ:φ100 一般用</t>
  </si>
  <si>
    <t>FP-100□□T 金網無し･ｶﾗｰ品 ※24H用</t>
  </si>
  <si>
    <t>評価式1 ＝ 評価式2</t>
  </si>
  <si>
    <t>2.0000000+1.0000000+4</t>
  </si>
  <si>
    <t>屋外ﾌｰﾄﾞ:φ150 一般用</t>
  </si>
  <si>
    <t>FP-150□□T 金網無し･ｶﾗｰ品 ※24H用</t>
  </si>
  <si>
    <t>2</t>
  </si>
  <si>
    <t>エアコン工事</t>
  </si>
  <si>
    <t>富士通ゼネラル　ノクリア　VHシリーズ4.0ｋｗ(100V)</t>
  </si>
  <si>
    <t>AS-VH405R　LDK用標準機種　※標準工事費込</t>
  </si>
  <si>
    <t>富士通ゼネラル　ノクリア　VHシリーズ2.8kw(100V)</t>
  </si>
  <si>
    <t>AS-VH285R　寝室用標準機種　※標準工事費込</t>
  </si>
  <si>
    <t>※エアコン仕様は要打合せ</t>
  </si>
  <si>
    <t>無線LANアダプター</t>
  </si>
  <si>
    <t>W,VH,RH,CHシリーズ対応</t>
  </si>
  <si>
    <t>2階から1階への延長配管</t>
  </si>
  <si>
    <t>太陽光発電システム工事</t>
  </si>
  <si>
    <t>太陽光発電システム工事（見積　令和7年10月10日）</t>
  </si>
  <si>
    <t>長州産業 5.09kw　</t>
  </si>
  <si>
    <t>太陽電池モジュール　CS-364B91</t>
  </si>
  <si>
    <t>ﾊﾟﾜｰｺﾝﾃﾞｨｼｮﾅ　SSITL40E2CS</t>
  </si>
  <si>
    <t>【注意】</t>
  </si>
  <si>
    <t>地域等により、ﾄﾗﾝｽの交換等が必要になることがあり、</t>
  </si>
  <si>
    <t>その場合電力会社からの請求が発生します。</t>
  </si>
  <si>
    <t>申請時に事前見積が出ますので、ｼｽﾃﾑ設置工事の</t>
  </si>
  <si>
    <t>要・不要をご判断いただくこととなります。</t>
  </si>
  <si>
    <t>造作家具工事</t>
  </si>
  <si>
    <t>ﾃﾞｨｽﾌﾟﾚｲ棚　ｶｳﾝﾀｰ W2.0m以下　材工</t>
  </si>
  <si>
    <t>ゴム集成又はﾎﾟｽﾄﾌｫｰﾑKAA相当</t>
  </si>
  <si>
    <t>雑工事</t>
  </si>
  <si>
    <t>諸経費</t>
  </si>
  <si>
    <t>清掃工事</t>
  </si>
  <si>
    <t>【床(全階) 面積[配置図ﾄｰﾀﾙ面積表]】</t>
  </si>
  <si>
    <t>天井点検口</t>
  </si>
  <si>
    <t>450角　材工</t>
  </si>
  <si>
    <t>各階に1個で集計</t>
  </si>
  <si>
    <t>【地上階数】</t>
  </si>
  <si>
    <t>床下点検口</t>
  </si>
  <si>
    <t>600角　材工</t>
  </si>
  <si>
    <t>内部S 床下点検口数から集計 ※ない場合1個</t>
  </si>
  <si>
    <t>室内物干し金物:ﾎｽｸﾘｰﾝ SPC-W×2本</t>
  </si>
  <si>
    <t>ﾘﾝｸﾞﾀｲﾌﾟ 材工</t>
  </si>
  <si>
    <t>屋外付帯工事</t>
  </si>
  <si>
    <t>屋外給排水工事</t>
  </si>
  <si>
    <t>共通仮設工事</t>
  </si>
  <si>
    <t>敷地乗り入れ養生・安全対策追加分等</t>
  </si>
  <si>
    <t>ガス工事</t>
  </si>
  <si>
    <t>諸費用</t>
  </si>
  <si>
    <t>コーディネート費用</t>
  </si>
  <si>
    <t>200㎡未満</t>
  </si>
  <si>
    <t>評価式1 ＜ 評価式2</t>
  </si>
  <si>
    <t>設計申請費</t>
  </si>
  <si>
    <t>確認申請・長期優良住宅・住宅性能評価・BELS 申請費</t>
  </si>
  <si>
    <t>合計</t>
  </si>
  <si>
    <t>総合計</t>
    <phoneticPr fontId="4"/>
  </si>
  <si>
    <t>古居徹朗様・古居百恵様</t>
    <rPh sb="0" eb="2">
      <t>フルイ</t>
    </rPh>
    <rPh sb="2" eb="4">
      <t>テツロウ</t>
    </rPh>
    <rPh sb="4" eb="5">
      <t>サマ</t>
    </rPh>
    <rPh sb="6" eb="11">
      <t>フルイモモエサマ</t>
    </rPh>
    <phoneticPr fontId="4"/>
  </si>
  <si>
    <t>堀川</t>
    <rPh sb="0" eb="2">
      <t>ホリカワ</t>
    </rPh>
    <phoneticPr fontId="4"/>
  </si>
  <si>
    <t>無</t>
    <rPh sb="0" eb="1">
      <t>ム</t>
    </rPh>
    <phoneticPr fontId="4"/>
  </si>
  <si>
    <t>・新仕様Ver.2507(13)</t>
    <rPh sb="1" eb="4">
      <t>シンシヨウ</t>
    </rPh>
    <phoneticPr fontId="4"/>
  </si>
  <si>
    <t>・外構ｷｬﾝﾍﾟｰﾝ有り予定</t>
    <rPh sb="1" eb="3">
      <t>ガイコウ</t>
    </rPh>
    <rPh sb="10" eb="11">
      <t>ア</t>
    </rPh>
    <rPh sb="12" eb="14">
      <t>ヨテイ</t>
    </rPh>
    <phoneticPr fontId="4"/>
  </si>
  <si>
    <t>・現場見学会開催</t>
    <rPh sb="1" eb="8">
      <t>ゲンバケンガクカイカイサイ</t>
    </rPh>
    <phoneticPr fontId="4"/>
  </si>
  <si>
    <t>　家具ｻｰﾋﾞｽ有</t>
  </si>
  <si>
    <t>外構ｷｬﾝﾍﾟｰﾝ（外構契約100万円以上、宅配BOXｻｰﾋﾞｽ）有</t>
    <rPh sb="0" eb="2">
      <t>ガイコウ</t>
    </rPh>
    <rPh sb="10" eb="14">
      <t>ガイコウケイヤク</t>
    </rPh>
    <rPh sb="17" eb="19">
      <t>マンエン</t>
    </rPh>
    <rPh sb="19" eb="21">
      <t>イジョウ</t>
    </rPh>
    <rPh sb="22" eb="24">
      <t>タクハイ</t>
    </rPh>
    <rPh sb="33" eb="34">
      <t>アリ</t>
    </rPh>
    <phoneticPr fontId="4"/>
  </si>
  <si>
    <t>（現場見学会開催特典：家具）家具30万円分ｻｰﾋﾞｽ</t>
    <rPh sb="1" eb="6">
      <t>ゲンバケンガクカイ</t>
    </rPh>
    <rPh sb="6" eb="8">
      <t>カイサイ</t>
    </rPh>
    <rPh sb="8" eb="10">
      <t>トクテン</t>
    </rPh>
    <rPh sb="11" eb="13">
      <t>カグ</t>
    </rPh>
    <rPh sb="14" eb="16">
      <t>カグ</t>
    </rPh>
    <rPh sb="17" eb="19">
      <t>マンエン</t>
    </rPh>
    <rPh sb="20" eb="21">
      <t>ブン</t>
    </rPh>
    <phoneticPr fontId="4"/>
  </si>
  <si>
    <t>管理費</t>
    <rPh sb="0" eb="3">
      <t>カンリヒ</t>
    </rPh>
    <phoneticPr fontId="4"/>
  </si>
  <si>
    <t>川澄</t>
    <rPh sb="0" eb="2">
      <t>カワスミ</t>
    </rPh>
    <phoneticPr fontId="4"/>
  </si>
  <si>
    <t>端数値引き</t>
    <rPh sb="0" eb="4">
      <t>ハスウネビ</t>
    </rPh>
    <phoneticPr fontId="4"/>
  </si>
  <si>
    <t>管理費</t>
  </si>
  <si>
    <t>古居 徹朗 様・古居 百恵 様邸新築工事⑦</t>
  </si>
  <si>
    <t>西尾市戸ケ崎</t>
    <rPh sb="0" eb="3">
      <t>ニシオシ</t>
    </rPh>
    <rPh sb="3" eb="4">
      <t>ト</t>
    </rPh>
    <rPh sb="5" eb="6">
      <t>ザキ</t>
    </rPh>
    <phoneticPr fontId="4"/>
  </si>
  <si>
    <t>古居 徹朗 様・古居 百恵</t>
  </si>
  <si>
    <t>木造軸組ALL金物構造</t>
    <rPh sb="0" eb="2">
      <t>モクゾウ</t>
    </rPh>
    <rPh sb="2" eb="4">
      <t>ジクグミ</t>
    </rPh>
    <rPh sb="7" eb="9">
      <t>カナモノ</t>
    </rPh>
    <rPh sb="9" eb="11">
      <t>コウゾウ</t>
    </rPh>
    <phoneticPr fontId="4"/>
  </si>
  <si>
    <t>⑦ 自由設計プラン</t>
    <rPh sb="2" eb="4">
      <t>ジユウ</t>
    </rPh>
    <rPh sb="4" eb="6">
      <t>セッケイ</t>
    </rPh>
    <phoneticPr fontId="4"/>
  </si>
  <si>
    <t>25-2507(13)-H230堀-NO-FT⑦04B</t>
    <phoneticPr fontId="4"/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</si>
  <si>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</si>
  <si>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</si>
  <si>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</si>
  <si>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</si>
  <si>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</si>
  <si>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</si>
  <si>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</si>
  <si>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</si>
  <si>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</si>
  <si>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</si>
  <si>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</si>
  <si>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</si>
  <si>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</si>
  <si>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</si>
  <si>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</si>
  <si>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</si>
  <si>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</si>
  <si>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</si>
  <si>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</si>
  <si>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</si>
  <si>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</si>
  <si>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</si>
  <si>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1-1</t>
  </si>
  <si>
    <t>1-2</t>
  </si>
  <si>
    <t>1-3</t>
  </si>
  <si>
    <t>1-4</t>
  </si>
  <si>
    <t>1-5</t>
  </si>
  <si>
    <t>1-1-1</t>
  </si>
  <si>
    <t>1-1-2</t>
  </si>
  <si>
    <t>1-1-3</t>
  </si>
  <si>
    <t>1-1-4</t>
  </si>
  <si>
    <t>2-1</t>
  </si>
  <si>
    <t>2-2</t>
  </si>
  <si>
    <t>2-3</t>
  </si>
  <si>
    <t>2-4</t>
  </si>
  <si>
    <t>2-5</t>
  </si>
  <si>
    <t>2-6</t>
  </si>
  <si>
    <t>2-7</t>
  </si>
  <si>
    <t>3-1</t>
  </si>
  <si>
    <t>3-2</t>
  </si>
  <si>
    <t>3-3</t>
  </si>
  <si>
    <t>3-4</t>
  </si>
  <si>
    <t>3-5</t>
  </si>
  <si>
    <t>3-6</t>
  </si>
  <si>
    <t>3-1-1</t>
  </si>
  <si>
    <t>3-1-2</t>
  </si>
  <si>
    <t>3-1-3</t>
  </si>
  <si>
    <t>3-1-4</t>
  </si>
  <si>
    <t>3-1-5</t>
  </si>
  <si>
    <t>3-1-6</t>
  </si>
  <si>
    <t>3-1-7</t>
  </si>
  <si>
    <t>3-1-8</t>
  </si>
  <si>
    <t>3-2-1</t>
  </si>
  <si>
    <t>3-2-2</t>
  </si>
  <si>
    <t>3-2-3</t>
  </si>
  <si>
    <t>3-2-4</t>
  </si>
  <si>
    <t>3-2-5</t>
  </si>
  <si>
    <t>3-2-6</t>
  </si>
  <si>
    <t>3-2-7</t>
  </si>
  <si>
    <t>3-2-8</t>
  </si>
  <si>
    <t>3-2-9</t>
  </si>
  <si>
    <t>3-2-10</t>
  </si>
  <si>
    <t>3-2-11</t>
  </si>
  <si>
    <t>3-2-12</t>
  </si>
  <si>
    <t>3-2-13</t>
  </si>
  <si>
    <t>3-2-14</t>
  </si>
  <si>
    <t>3-2-15</t>
  </si>
  <si>
    <t>3-2-16</t>
  </si>
  <si>
    <t>3-2-17</t>
  </si>
  <si>
    <t>3-2-18</t>
  </si>
  <si>
    <t>3-2-19</t>
  </si>
  <si>
    <t>3-2-20</t>
  </si>
  <si>
    <t>3-2-21</t>
  </si>
  <si>
    <t>3-2-22</t>
  </si>
  <si>
    <t>3-2-23</t>
  </si>
  <si>
    <t>3-2-24</t>
  </si>
  <si>
    <t>3-2-25</t>
  </si>
  <si>
    <t>3-2-26</t>
  </si>
  <si>
    <t>3-2-27</t>
  </si>
  <si>
    <t>3-2-28</t>
  </si>
  <si>
    <t>3-2-29</t>
  </si>
  <si>
    <t>3-2-30</t>
  </si>
  <si>
    <t>3-2-31</t>
  </si>
  <si>
    <t>3-2-32</t>
  </si>
  <si>
    <t>3-2-33</t>
  </si>
  <si>
    <t>3-2-34</t>
  </si>
  <si>
    <t>3-2-35</t>
  </si>
  <si>
    <t>3-2-36</t>
  </si>
  <si>
    <t>3-2-37</t>
  </si>
  <si>
    <t>3-2-38</t>
  </si>
  <si>
    <t>3-2-39</t>
  </si>
  <si>
    <t>3-2-40</t>
  </si>
  <si>
    <t>3-2-41</t>
  </si>
  <si>
    <t>3-2-42</t>
  </si>
  <si>
    <t>3-2-43</t>
  </si>
  <si>
    <t>3-2-44</t>
  </si>
  <si>
    <t>3-2-45</t>
  </si>
  <si>
    <t>3-3-1</t>
  </si>
  <si>
    <t>3-3-2</t>
  </si>
  <si>
    <t>3-3-3</t>
  </si>
  <si>
    <t>3-3-4</t>
  </si>
  <si>
    <t>3-3-5</t>
  </si>
  <si>
    <t>3-3-6</t>
  </si>
  <si>
    <t>3-3-7</t>
  </si>
  <si>
    <t>3-3-8</t>
  </si>
  <si>
    <t>3-3-9</t>
  </si>
  <si>
    <t>3-3-10</t>
  </si>
  <si>
    <t>3-3-11</t>
  </si>
  <si>
    <t>3-3-12</t>
  </si>
  <si>
    <t>3-3-13</t>
  </si>
  <si>
    <t>3-3-14</t>
  </si>
  <si>
    <t>3-3-15</t>
  </si>
  <si>
    <t>3-3-16</t>
  </si>
  <si>
    <t>3-3-17</t>
  </si>
  <si>
    <t>3-3-18</t>
  </si>
  <si>
    <t>3-3-19</t>
  </si>
  <si>
    <t>3-3-20</t>
  </si>
  <si>
    <t>3-3-21</t>
  </si>
  <si>
    <t>3-3-22</t>
  </si>
  <si>
    <t>3-3-23</t>
  </si>
  <si>
    <t>3-3-24</t>
  </si>
  <si>
    <t>3-3-25</t>
  </si>
  <si>
    <t>3-3-26</t>
  </si>
  <si>
    <t>3-3-27</t>
  </si>
  <si>
    <t>4-1</t>
  </si>
  <si>
    <t>4-2</t>
  </si>
  <si>
    <t>4-3</t>
  </si>
  <si>
    <t>4-4</t>
  </si>
  <si>
    <t>4-5</t>
  </si>
  <si>
    <t>4-1-1</t>
  </si>
  <si>
    <t>4-1-2</t>
  </si>
  <si>
    <t>4-1-3</t>
  </si>
  <si>
    <t>4-1-4</t>
  </si>
  <si>
    <t>4-2-1</t>
  </si>
  <si>
    <t>4-2-2</t>
  </si>
  <si>
    <t>4-2-3</t>
  </si>
  <si>
    <t>4-2-4</t>
  </si>
  <si>
    <t>4-2-5</t>
  </si>
  <si>
    <t>5-1</t>
  </si>
  <si>
    <t>5-2</t>
  </si>
  <si>
    <t>6-1</t>
  </si>
  <si>
    <t>6-2</t>
  </si>
  <si>
    <t>6-3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</si>
  <si>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</si>
  <si>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</si>
  <si>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</si>
  <si>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</si>
  <si>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</si>
  <si>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</si>
  <si>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</si>
  <si>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</si>
  <si>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</si>
  <si>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</si>
  <si>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</si>
  <si>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</si>
  <si>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</si>
  <si>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</si>
  <si>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</si>
  <si>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</si>
  <si>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</si>
  <si>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</si>
  <si>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</si>
  <si>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</si>
  <si>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</si>
  <si>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</si>
  <si>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</si>
  <si>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</si>
  <si>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</si>
  <si>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</si>
  <si>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9-1</t>
  </si>
  <si>
    <t>9-2</t>
  </si>
  <si>
    <t>9-3</t>
  </si>
  <si>
    <t>9-4</t>
  </si>
  <si>
    <t>9-5</t>
  </si>
  <si>
    <t>9-6</t>
  </si>
  <si>
    <t>10-1</t>
  </si>
  <si>
    <t>10-2</t>
  </si>
  <si>
    <t>10-1-1</t>
  </si>
  <si>
    <t>10-1-2</t>
  </si>
  <si>
    <t>10-1-3</t>
  </si>
  <si>
    <t>10-1-4</t>
  </si>
  <si>
    <t>11-1</t>
  </si>
  <si>
    <t>12-1</t>
  </si>
  <si>
    <t>13-1</t>
  </si>
  <si>
    <t>13-2</t>
  </si>
  <si>
    <t>13-3</t>
  </si>
  <si>
    <t>13-4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</si>
  <si>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</si>
  <si>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</si>
  <si>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</si>
  <si>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</si>
  <si>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</si>
  <si>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</si>
  <si>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</si>
  <si>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</si>
  <si>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</si>
  <si>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</si>
  <si>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</si>
  <si>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15-1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</si>
  <si>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</si>
  <si>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</si>
  <si>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</si>
  <si>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</si>
  <si>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</si>
  <si>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</si>
  <si>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</si>
  <si>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</si>
  <si>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</si>
  <si>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</si>
  <si>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</si>
  <si>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</si>
  <si>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</si>
  <si>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</si>
  <si>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</si>
  <si>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16-16</t>
  </si>
  <si>
    <t>16-17</t>
  </si>
  <si>
    <t>16-18</t>
  </si>
  <si>
    <t>16-19</t>
  </si>
  <si>
    <t>16-20</t>
  </si>
  <si>
    <t>16-21</t>
  </si>
  <si>
    <t>16-22</t>
  </si>
  <si>
    <t>16-23</t>
  </si>
  <si>
    <t>16-24</t>
  </si>
  <si>
    <t>16-25</t>
  </si>
  <si>
    <t>16-26</t>
  </si>
  <si>
    <t>16-27</t>
  </si>
  <si>
    <t>17-1</t>
  </si>
  <si>
    <t>17-2</t>
  </si>
  <si>
    <t>17-3</t>
  </si>
  <si>
    <t>17-4</t>
  </si>
  <si>
    <t>17-5</t>
  </si>
  <si>
    <t>17-6</t>
  </si>
  <si>
    <t>18-1</t>
  </si>
  <si>
    <t>18-2</t>
  </si>
  <si>
    <t>18-3</t>
  </si>
  <si>
    <t>18-4</t>
  </si>
  <si>
    <t>19-1</t>
  </si>
  <si>
    <t>20-1</t>
  </si>
  <si>
    <t>21-1</t>
  </si>
  <si>
    <t>21-2</t>
  </si>
  <si>
    <t>21-3</t>
  </si>
  <si>
    <t>21-4</t>
  </si>
  <si>
    <t>23-1</t>
  </si>
  <si>
    <t>23-2</t>
  </si>
  <si>
    <t>23-3</t>
  </si>
  <si>
    <t>24-1</t>
  </si>
  <si>
    <t>24-2</t>
  </si>
  <si>
    <t>　持出し基礎等の特殊工事が必要となった場合は別見積となります。</t>
  </si>
  <si>
    <t>33調整分</t>
    <phoneticPr fontId="4"/>
  </si>
  <si>
    <t>YKKap『APW430/431』</t>
    <phoneticPr fontId="4"/>
  </si>
  <si>
    <t>※HEMS機器は、選定する太陽光ｼｽﾃﾑ等の関連設備により、必要に応じて調整します。</t>
    <phoneticPr fontId="4"/>
  </si>
  <si>
    <t>地域等により、ﾄﾗﾝｽの交換等が必要になることがあり、その場合電力会社からの請求が発生します。</t>
  </si>
  <si>
    <t>申請時に事前見積が出ますので、ｼｽﾃﾑ設置工事の要・不要をご判断いただくこととなります。</t>
  </si>
  <si>
    <t>合計（ｷｬﾝﾍﾟｰﾝ等を原価に計上した粗利率）</t>
    <rPh sb="10" eb="11">
      <t>トウ</t>
    </rPh>
    <rPh sb="13" eb="14">
      <t>ニ</t>
    </rPh>
    <rPh sb="14" eb="18">
      <t>ケイジョウシタ</t>
    </rPh>
    <rPh sb="18" eb="21">
      <t>アラリリツ</t>
    </rPh>
    <rPh sb="21" eb="22">
      <t>リツ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</si>
</sst>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176" formatCode="0_ "/>
    <numFmt numFmtId="177" formatCode=";;"/>
    <numFmt numFmtId="178" formatCode="[$-F800]dddd\,\ mmmm\ dd\,\ yyyy"/>
    <numFmt numFmtId="179" formatCode="yyyy&quot;年&quot;m&quot;月&quot;d&quot;日&quot;;@"/>
    <numFmt numFmtId="180" formatCode="#,##0;&quot;▲ &quot;#,##0"/>
    <numFmt numFmtId="181" formatCode="0.0%"/>
    <numFmt numFmtId="182" formatCode="0;&quot;▲ &quot;0"/>
    <numFmt numFmtId="183" formatCode="0.00_ "/>
    <numFmt numFmtId="184" formatCode=";;;"/>
  </numFmts>
  <fonts count="30">
    <font>
      <sz val="11"/>
      <name val="ＭＳ Ｐゴシック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Arial Unicode MS"/>
      <family val="3"/>
    </font>
    <font>
      <b/>
      <sz val="11"/>
      <color indexed="18"/>
      <name val="ＭＳ Ｐゴシック"/>
      <family val="3"/>
      <charset val="128"/>
    </font>
    <font>
      <sz val="24"/>
      <name val="ＭＳ Ｐ明朝"/>
      <family val="1"/>
      <charset val="128"/>
    </font>
    <font>
      <sz val="18"/>
      <name val="ＭＳ Ｐ明朝"/>
      <family val="1"/>
      <charset val="128"/>
    </font>
    <font>
      <sz val="3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20"/>
      <name val="ＭＳ Ｐ明朝"/>
      <family val="1"/>
      <charset val="128"/>
    </font>
    <font>
      <sz val="14"/>
      <name val="ＭＳ Ｐ明朝"/>
      <family val="1"/>
      <charset val="128"/>
    </font>
    <font>
      <b/>
      <sz val="11"/>
      <color indexed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name val="ＭＳ Ｐ明朝"/>
      <family val="1"/>
      <charset val="128"/>
    </font>
    <font>
      <sz val="22"/>
      <name val="ＭＳ Ｐ明朝"/>
      <family val="1"/>
      <charset val="128"/>
    </font>
    <font>
      <b/>
      <sz val="11"/>
      <color indexed="9"/>
      <name val="ＭＳ Ｐ明朝"/>
      <family val="1"/>
      <charset val="128"/>
    </font>
    <font>
      <b/>
      <sz val="16"/>
      <name val="ＭＳ Ｐゴシック"/>
      <family val="3"/>
      <charset val="128"/>
    </font>
    <font>
      <b/>
      <sz val="22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b/>
      <sz val="11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26"/>
      <name val="ＭＳ Ｐ明朝"/>
      <family val="1"/>
      <charset val="128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gray0625">
        <fgColor indexed="50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22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/>
      <diagonal/>
    </border>
    <border>
      <left/>
      <right/>
      <top style="thick">
        <color indexed="22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46">
    <xf numFmtId="0" fontId="0" fillId="0" borderId="0"/>
    <xf numFmtId="0" fontId="18" fillId="0" borderId="0"/>
    <xf numFmtId="0" fontId="19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5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9" fillId="0" borderId="0" applyNumberFormat="0" applyFill="0" applyBorder="0" applyAlignment="0" applyProtection="0"/>
  </cellStyleXfs>
  <cellXfs count="261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5" fillId="0" borderId="0" xfId="0" applyFont="1"/>
    <xf numFmtId="0" fontId="10" fillId="0" borderId="0" xfId="0" applyFont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9" xfId="0" applyFont="1" applyBorder="1"/>
    <xf numFmtId="0" fontId="0" fillId="3" borderId="10" xfId="0" applyFill="1" applyBorder="1"/>
    <xf numFmtId="49" fontId="0" fillId="3" borderId="10" xfId="0" applyNumberFormat="1" applyFill="1" applyBorder="1"/>
    <xf numFmtId="0" fontId="0" fillId="4" borderId="0" xfId="0" applyFill="1"/>
    <xf numFmtId="0" fontId="0" fillId="5" borderId="0" xfId="0" applyFill="1"/>
    <xf numFmtId="0" fontId="0" fillId="5" borderId="11" xfId="0" applyFill="1" applyBorder="1"/>
    <xf numFmtId="0" fontId="0" fillId="4" borderId="11" xfId="0" applyFill="1" applyBorder="1"/>
    <xf numFmtId="0" fontId="0" fillId="5" borderId="12" xfId="0" applyFill="1" applyBorder="1"/>
    <xf numFmtId="0" fontId="0" fillId="4" borderId="13" xfId="0" applyFill="1" applyBorder="1"/>
    <xf numFmtId="0" fontId="0" fillId="5" borderId="14" xfId="0" applyFill="1" applyBorder="1"/>
    <xf numFmtId="0" fontId="15" fillId="4" borderId="0" xfId="0" applyFont="1" applyFill="1"/>
    <xf numFmtId="0" fontId="0" fillId="4" borderId="4" xfId="0" applyFill="1" applyBorder="1"/>
    <xf numFmtId="49" fontId="14" fillId="6" borderId="15" xfId="0" applyNumberFormat="1" applyFont="1" applyFill="1" applyBorder="1" applyAlignment="1">
      <alignment horizontal="left"/>
    </xf>
    <xf numFmtId="0" fontId="0" fillId="0" borderId="0" xfId="0" applyAlignment="1">
      <alignment shrinkToFit="1"/>
    </xf>
    <xf numFmtId="0" fontId="11" fillId="0" borderId="17" xfId="0" applyFont="1" applyBorder="1" applyAlignment="1">
      <alignment horizontal="right"/>
    </xf>
    <xf numFmtId="0" fontId="17" fillId="4" borderId="18" xfId="0" applyFont="1" applyFill="1" applyBorder="1"/>
    <xf numFmtId="0" fontId="0" fillId="3" borderId="10" xfId="0" applyFill="1" applyBorder="1" applyProtection="1">
      <protection locked="0"/>
    </xf>
    <xf numFmtId="49" fontId="0" fillId="3" borderId="10" xfId="0" applyNumberFormat="1" applyFill="1" applyBorder="1" applyProtection="1">
      <protection locked="0"/>
    </xf>
    <xf numFmtId="3" fontId="0" fillId="3" borderId="10" xfId="0" applyNumberFormat="1" applyFill="1" applyBorder="1" applyProtection="1">
      <protection locked="0"/>
    </xf>
    <xf numFmtId="0" fontId="0" fillId="7" borderId="19" xfId="0" applyFill="1" applyBorder="1" applyProtection="1">
      <protection locked="0"/>
    </xf>
    <xf numFmtId="49" fontId="6" fillId="6" borderId="20" xfId="0" applyNumberFormat="1" applyFont="1" applyFill="1" applyBorder="1" applyAlignment="1" applyProtection="1">
      <alignment horizontal="center"/>
      <protection locked="0"/>
    </xf>
    <xf numFmtId="0" fontId="18" fillId="4" borderId="0" xfId="1" applyFill="1"/>
    <xf numFmtId="0" fontId="15" fillId="4" borderId="0" xfId="1" applyFont="1" applyFill="1"/>
    <xf numFmtId="49" fontId="3" fillId="3" borderId="10" xfId="0" applyNumberFormat="1" applyFont="1" applyFill="1" applyBorder="1" applyProtection="1">
      <protection locked="0"/>
    </xf>
    <xf numFmtId="49" fontId="19" fillId="3" borderId="10" xfId="2" applyNumberFormat="1" applyFill="1" applyBorder="1" applyProtection="1">
      <protection locked="0"/>
    </xf>
    <xf numFmtId="0" fontId="10" fillId="0" borderId="16" xfId="0" applyFont="1" applyBorder="1"/>
    <xf numFmtId="0" fontId="10" fillId="0" borderId="4" xfId="0" applyFont="1" applyBorder="1"/>
    <xf numFmtId="0" fontId="12" fillId="0" borderId="4" xfId="0" applyFont="1" applyBorder="1" applyAlignment="1">
      <alignment horizontal="distributed" vertical="center"/>
    </xf>
    <xf numFmtId="0" fontId="7" fillId="0" borderId="6" xfId="0" applyFont="1" applyBorder="1"/>
    <xf numFmtId="49" fontId="10" fillId="0" borderId="16" xfId="0" applyNumberFormat="1" applyFont="1" applyBorder="1"/>
    <xf numFmtId="49" fontId="10" fillId="0" borderId="16" xfId="0" applyNumberFormat="1" applyFont="1" applyBorder="1" applyAlignment="1">
      <alignment horizontal="right"/>
    </xf>
    <xf numFmtId="0" fontId="10" fillId="0" borderId="7" xfId="0" applyFont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4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58" fontId="10" fillId="0" borderId="0" xfId="0" applyNumberFormat="1" applyFont="1" applyAlignment="1">
      <alignment vertical="center"/>
    </xf>
    <xf numFmtId="58" fontId="10" fillId="0" borderId="0" xfId="0" applyNumberFormat="1" applyFont="1"/>
    <xf numFmtId="178" fontId="10" fillId="0" borderId="0" xfId="0" applyNumberFormat="1" applyFont="1"/>
    <xf numFmtId="58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7" fontId="12" fillId="0" borderId="0" xfId="0" applyNumberFormat="1" applyFont="1" applyAlignment="1">
      <alignment shrinkToFit="1"/>
    </xf>
    <xf numFmtId="177" fontId="21" fillId="0" borderId="0" xfId="0" applyNumberFormat="1" applyFont="1" applyAlignment="1">
      <alignment shrinkToFit="1"/>
    </xf>
    <xf numFmtId="0" fontId="12" fillId="0" borderId="0" xfId="0" applyFont="1" applyAlignment="1">
      <alignment horizontal="distributed" vertical="center"/>
    </xf>
    <xf numFmtId="3" fontId="12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left" indent="3"/>
    </xf>
    <xf numFmtId="0" fontId="10" fillId="0" borderId="0" xfId="0" applyFont="1" applyAlignment="1">
      <alignment horizontal="left" indent="3"/>
    </xf>
    <xf numFmtId="177" fontId="10" fillId="0" borderId="0" xfId="0" applyNumberFormat="1" applyFont="1"/>
    <xf numFmtId="177" fontId="10" fillId="0" borderId="0" xfId="0" applyNumberFormat="1" applyFont="1" applyAlignment="1">
      <alignment shrinkToFit="1"/>
    </xf>
    <xf numFmtId="177" fontId="11" fillId="0" borderId="0" xfId="0" applyNumberFormat="1" applyFont="1"/>
    <xf numFmtId="177" fontId="11" fillId="0" borderId="0" xfId="0" applyNumberFormat="1" applyFont="1" applyAlignment="1">
      <alignment shrinkToFit="1"/>
    </xf>
    <xf numFmtId="0" fontId="10" fillId="0" borderId="0" xfId="0" applyFont="1" applyAlignment="1">
      <alignment horizontal="left" indent="5"/>
    </xf>
    <xf numFmtId="0" fontId="7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distributed"/>
    </xf>
    <xf numFmtId="0" fontId="10" fillId="0" borderId="0" xfId="0" applyFont="1" applyAlignment="1">
      <alignment horizontal="distributed"/>
    </xf>
    <xf numFmtId="49" fontId="3" fillId="0" borderId="20" xfId="0" applyNumberFormat="1" applyFont="1" applyBorder="1" applyAlignment="1">
      <alignment horizontal="left"/>
    </xf>
    <xf numFmtId="0" fontId="3" fillId="0" borderId="28" xfId="3" applyBorder="1" applyAlignment="1">
      <alignment horizontal="center"/>
    </xf>
    <xf numFmtId="0" fontId="3" fillId="0" borderId="29" xfId="3" applyBorder="1" applyAlignment="1">
      <alignment horizontal="center"/>
    </xf>
    <xf numFmtId="49" fontId="3" fillId="0" borderId="29" xfId="3" applyNumberFormat="1" applyBorder="1" applyAlignment="1">
      <alignment horizontal="center"/>
    </xf>
    <xf numFmtId="180" fontId="3" fillId="0" borderId="29" xfId="3" applyNumberFormat="1" applyBorder="1" applyAlignment="1">
      <alignment horizontal="center"/>
    </xf>
    <xf numFmtId="181" fontId="3" fillId="0" borderId="30" xfId="4" applyNumberFormat="1" applyFont="1" applyBorder="1" applyAlignment="1">
      <alignment horizontal="center"/>
    </xf>
    <xf numFmtId="181" fontId="3" fillId="0" borderId="0" xfId="4" applyNumberFormat="1" applyFont="1" applyBorder="1" applyAlignment="1">
      <alignment horizontal="center"/>
    </xf>
    <xf numFmtId="0" fontId="3" fillId="0" borderId="0" xfId="3" applyAlignment="1">
      <alignment horizontal="center"/>
    </xf>
    <xf numFmtId="0" fontId="3" fillId="0" borderId="31" xfId="3" applyBorder="1" applyAlignment="1">
      <alignment horizontal="center"/>
    </xf>
    <xf numFmtId="0" fontId="3" fillId="0" borderId="32" xfId="3" applyBorder="1"/>
    <xf numFmtId="180" fontId="3" fillId="0" borderId="32" xfId="3" applyNumberFormat="1" applyBorder="1"/>
    <xf numFmtId="181" fontId="0" fillId="0" borderId="33" xfId="4" applyNumberFormat="1" applyFont="1" applyBorder="1" applyAlignment="1"/>
    <xf numFmtId="181" fontId="0" fillId="0" borderId="0" xfId="4" applyNumberFormat="1" applyFont="1" applyBorder="1" applyAlignment="1"/>
    <xf numFmtId="0" fontId="3" fillId="0" borderId="0" xfId="3"/>
    <xf numFmtId="49" fontId="3" fillId="0" borderId="32" xfId="3" applyNumberFormat="1" applyBorder="1"/>
    <xf numFmtId="0" fontId="3" fillId="0" borderId="34" xfId="3" applyBorder="1" applyAlignment="1">
      <alignment horizontal="center"/>
    </xf>
    <xf numFmtId="49" fontId="3" fillId="0" borderId="35" xfId="3" applyNumberFormat="1" applyBorder="1"/>
    <xf numFmtId="0" fontId="3" fillId="0" borderId="35" xfId="3" applyBorder="1"/>
    <xf numFmtId="180" fontId="3" fillId="0" borderId="35" xfId="3" applyNumberFormat="1" applyBorder="1"/>
    <xf numFmtId="181" fontId="0" fillId="0" borderId="36" xfId="4" applyNumberFormat="1" applyFont="1" applyBorder="1" applyAlignment="1"/>
    <xf numFmtId="49" fontId="3" fillId="0" borderId="0" xfId="3" applyNumberFormat="1"/>
    <xf numFmtId="180" fontId="3" fillId="0" borderId="0" xfId="3" applyNumberFormat="1"/>
    <xf numFmtId="181" fontId="0" fillId="0" borderId="0" xfId="4" applyNumberFormat="1" applyFont="1" applyAlignment="1"/>
    <xf numFmtId="0" fontId="3" fillId="0" borderId="28" xfId="3" applyBorder="1"/>
    <xf numFmtId="0" fontId="3" fillId="0" borderId="32" xfId="3" applyBorder="1" applyAlignment="1">
      <alignment horizontal="center"/>
    </xf>
    <xf numFmtId="0" fontId="3" fillId="0" borderId="31" xfId="3" applyBorder="1"/>
    <xf numFmtId="0" fontId="3" fillId="0" borderId="34" xfId="3" applyBorder="1"/>
    <xf numFmtId="0" fontId="3" fillId="0" borderId="0" xfId="3" applyAlignment="1">
      <alignment horizontal="right"/>
    </xf>
    <xf numFmtId="0" fontId="2" fillId="0" borderId="0" xfId="3" applyFont="1" applyAlignment="1">
      <alignment horizontal="left"/>
    </xf>
    <xf numFmtId="0" fontId="2" fillId="0" borderId="0" xfId="3" applyFont="1" applyAlignment="1">
      <alignment horizontal="right" vertical="center" shrinkToFit="1"/>
    </xf>
    <xf numFmtId="0" fontId="3" fillId="0" borderId="0" xfId="3" applyAlignment="1">
      <alignment horizontal="right" shrinkToFit="1"/>
    </xf>
    <xf numFmtId="180" fontId="2" fillId="0" borderId="29" xfId="3" applyNumberFormat="1" applyFont="1" applyBorder="1" applyAlignment="1">
      <alignment horizontal="center"/>
    </xf>
    <xf numFmtId="0" fontId="2" fillId="0" borderId="0" xfId="3" applyFont="1"/>
    <xf numFmtId="180" fontId="2" fillId="0" borderId="0" xfId="3" applyNumberFormat="1" applyFont="1" applyAlignment="1">
      <alignment horizontal="right"/>
    </xf>
    <xf numFmtId="0" fontId="23" fillId="0" borderId="0" xfId="3" applyFont="1" applyAlignment="1">
      <alignment horizontal="center"/>
    </xf>
    <xf numFmtId="0" fontId="2" fillId="0" borderId="32" xfId="3" applyFont="1" applyBorder="1" applyAlignment="1">
      <alignment horizontal="center"/>
    </xf>
    <xf numFmtId="0" fontId="2" fillId="0" borderId="31" xfId="3" applyFont="1" applyBorder="1" applyAlignment="1">
      <alignment shrinkToFit="1"/>
    </xf>
    <xf numFmtId="0" fontId="2" fillId="0" borderId="32" xfId="3" applyFont="1" applyBorder="1" applyAlignment="1">
      <alignment shrinkToFit="1"/>
    </xf>
    <xf numFmtId="0" fontId="2" fillId="4" borderId="0" xfId="0" applyFont="1" applyFill="1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1" fillId="0" borderId="0" xfId="0" applyFont="1"/>
    <xf numFmtId="0" fontId="2" fillId="0" borderId="32" xfId="3" applyFont="1" applyBorder="1"/>
    <xf numFmtId="0" fontId="0" fillId="0" borderId="4" xfId="0" applyBorder="1"/>
    <xf numFmtId="0" fontId="0" fillId="0" borderId="5" xfId="0" applyBorder="1"/>
    <xf numFmtId="0" fontId="24" fillId="0" borderId="0" xfId="0" applyFont="1" applyAlignment="1">
      <alignment vertical="center" shrinkToFit="1"/>
    </xf>
    <xf numFmtId="49" fontId="0" fillId="0" borderId="20" xfId="0" applyNumberFormat="1" applyBorder="1" applyAlignment="1">
      <alignment shrinkToFit="1"/>
    </xf>
    <xf numFmtId="183" fontId="0" fillId="0" borderId="20" xfId="0" applyNumberFormat="1" applyBorder="1"/>
    <xf numFmtId="49" fontId="0" fillId="0" borderId="20" xfId="0" applyNumberFormat="1" applyBorder="1" applyAlignment="1">
      <alignment horizontal="center"/>
    </xf>
    <xf numFmtId="184" fontId="0" fillId="0" borderId="20" xfId="0" applyNumberFormat="1" applyBorder="1"/>
    <xf numFmtId="3" fontId="0" fillId="0" borderId="38" xfId="0" applyNumberFormat="1" applyBorder="1"/>
    <xf numFmtId="49" fontId="0" fillId="0" borderId="40" xfId="0" applyNumberFormat="1" applyBorder="1" applyAlignment="1">
      <alignment shrinkToFit="1"/>
    </xf>
    <xf numFmtId="183" fontId="0" fillId="0" borderId="40" xfId="0" applyNumberFormat="1" applyBorder="1"/>
    <xf numFmtId="49" fontId="0" fillId="0" borderId="40" xfId="0" applyNumberFormat="1" applyBorder="1" applyAlignment="1">
      <alignment horizontal="center"/>
    </xf>
    <xf numFmtId="184" fontId="0" fillId="0" borderId="40" xfId="0" applyNumberFormat="1" applyBorder="1"/>
    <xf numFmtId="3" fontId="0" fillId="0" borderId="41" xfId="0" applyNumberFormat="1" applyBorder="1"/>
    <xf numFmtId="0" fontId="22" fillId="2" borderId="43" xfId="0" applyFont="1" applyFill="1" applyBorder="1" applyAlignment="1">
      <alignment horizontal="center" shrinkToFit="1"/>
    </xf>
    <xf numFmtId="0" fontId="22" fillId="2" borderId="43" xfId="0" applyFont="1" applyFill="1" applyBorder="1" applyAlignment="1">
      <alignment horizontal="center"/>
    </xf>
    <xf numFmtId="0" fontId="22" fillId="2" borderId="44" xfId="0" applyFont="1" applyFill="1" applyBorder="1" applyAlignment="1">
      <alignment horizontal="center"/>
    </xf>
    <xf numFmtId="49" fontId="0" fillId="0" borderId="46" xfId="0" applyNumberFormat="1" applyBorder="1" applyAlignment="1">
      <alignment shrinkToFit="1"/>
    </xf>
    <xf numFmtId="183" fontId="0" fillId="0" borderId="46" xfId="0" applyNumberFormat="1" applyBorder="1"/>
    <xf numFmtId="49" fontId="0" fillId="0" borderId="46" xfId="0" applyNumberFormat="1" applyBorder="1" applyAlignment="1">
      <alignment horizontal="center"/>
    </xf>
    <xf numFmtId="184" fontId="0" fillId="0" borderId="46" xfId="0" applyNumberFormat="1" applyBorder="1"/>
    <xf numFmtId="3" fontId="0" fillId="0" borderId="47" xfId="0" applyNumberFormat="1" applyBorder="1"/>
    <xf numFmtId="49" fontId="0" fillId="0" borderId="15" xfId="0" applyNumberFormat="1" applyBorder="1" applyAlignment="1">
      <alignment shrinkToFit="1"/>
    </xf>
    <xf numFmtId="183" fontId="0" fillId="0" borderId="15" xfId="0" applyNumberFormat="1" applyBorder="1"/>
    <xf numFmtId="49" fontId="0" fillId="0" borderId="15" xfId="0" applyNumberFormat="1" applyBorder="1" applyAlignment="1">
      <alignment horizontal="center"/>
    </xf>
    <xf numFmtId="184" fontId="0" fillId="0" borderId="15" xfId="0" applyNumberFormat="1" applyBorder="1"/>
    <xf numFmtId="3" fontId="0" fillId="0" borderId="49" xfId="0" applyNumberFormat="1" applyBorder="1"/>
    <xf numFmtId="49" fontId="2" fillId="0" borderId="20" xfId="0" applyNumberFormat="1" applyFont="1" applyBorder="1" applyAlignment="1">
      <alignment shrinkToFit="1"/>
    </xf>
    <xf numFmtId="184" fontId="2" fillId="0" borderId="20" xfId="0" applyNumberFormat="1" applyFont="1" applyBorder="1"/>
    <xf numFmtId="49" fontId="2" fillId="0" borderId="20" xfId="0" applyNumberFormat="1" applyFont="1" applyBorder="1" applyAlignment="1">
      <alignment horizontal="center"/>
    </xf>
    <xf numFmtId="3" fontId="2" fillId="0" borderId="38" xfId="0" applyNumberFormat="1" applyFont="1" applyBorder="1"/>
    <xf numFmtId="0" fontId="0" fillId="0" borderId="20" xfId="0" applyBorder="1" applyAlignment="1">
      <alignment shrinkToFit="1"/>
    </xf>
    <xf numFmtId="0" fontId="0" fillId="0" borderId="20" xfId="0" applyBorder="1"/>
    <xf numFmtId="0" fontId="0" fillId="0" borderId="38" xfId="0" applyBorder="1"/>
    <xf numFmtId="0" fontId="14" fillId="6" borderId="20" xfId="0" applyFont="1" applyFill="1" applyBorder="1" applyAlignment="1">
      <alignment horizontal="left" shrinkToFit="1"/>
    </xf>
    <xf numFmtId="0" fontId="0" fillId="6" borderId="20" xfId="0" applyFill="1" applyBorder="1" applyAlignment="1">
      <alignment shrinkToFit="1"/>
    </xf>
    <xf numFmtId="0" fontId="0" fillId="6" borderId="20" xfId="0" applyFill="1" applyBorder="1"/>
    <xf numFmtId="3" fontId="0" fillId="6" borderId="38" xfId="0" applyNumberFormat="1" applyFill="1" applyBorder="1"/>
    <xf numFmtId="0" fontId="6" fillId="6" borderId="40" xfId="0" applyFont="1" applyFill="1" applyBorder="1" applyAlignment="1">
      <alignment horizontal="center" shrinkToFit="1"/>
    </xf>
    <xf numFmtId="0" fontId="0" fillId="6" borderId="40" xfId="0" applyFill="1" applyBorder="1" applyAlignment="1">
      <alignment shrinkToFit="1"/>
    </xf>
    <xf numFmtId="0" fontId="0" fillId="6" borderId="40" xfId="0" applyFill="1" applyBorder="1"/>
    <xf numFmtId="3" fontId="0" fillId="6" borderId="41" xfId="0" applyNumberFormat="1" applyFill="1" applyBorder="1"/>
    <xf numFmtId="49" fontId="26" fillId="0" borderId="0" xfId="0" applyNumberFormat="1" applyFont="1" applyAlignment="1">
      <alignment shrinkToFit="1"/>
    </xf>
    <xf numFmtId="3" fontId="0" fillId="0" borderId="20" xfId="0" applyNumberFormat="1" applyBorder="1"/>
    <xf numFmtId="0" fontId="0" fillId="0" borderId="15" xfId="0" applyBorder="1" applyAlignment="1">
      <alignment shrinkToFit="1"/>
    </xf>
    <xf numFmtId="0" fontId="0" fillId="0" borderId="15" xfId="0" applyBorder="1"/>
    <xf numFmtId="0" fontId="0" fillId="0" borderId="49" xfId="0" applyBorder="1"/>
    <xf numFmtId="49" fontId="26" fillId="0" borderId="46" xfId="0" applyNumberFormat="1" applyFont="1" applyBorder="1" applyAlignment="1">
      <alignment shrinkToFit="1"/>
    </xf>
    <xf numFmtId="0" fontId="0" fillId="0" borderId="46" xfId="0" applyBorder="1" applyAlignment="1">
      <alignment shrinkToFit="1"/>
    </xf>
    <xf numFmtId="0" fontId="0" fillId="0" borderId="46" xfId="0" applyBorder="1"/>
    <xf numFmtId="0" fontId="0" fillId="0" borderId="47" xfId="0" applyBorder="1"/>
    <xf numFmtId="3" fontId="0" fillId="0" borderId="40" xfId="0" applyNumberFormat="1" applyBorder="1"/>
    <xf numFmtId="3" fontId="0" fillId="0" borderId="15" xfId="0" applyNumberFormat="1" applyBorder="1"/>
    <xf numFmtId="3" fontId="0" fillId="0" borderId="46" xfId="0" applyNumberFormat="1" applyBorder="1"/>
    <xf numFmtId="14" fontId="2" fillId="0" borderId="33" xfId="27" applyNumberFormat="1" applyBorder="1" applyAlignment="1">
      <alignment horizontal="right"/>
    </xf>
    <xf numFmtId="182" fontId="2" fillId="0" borderId="33" xfId="27" applyNumberFormat="1" applyBorder="1" applyAlignment="1">
      <alignment horizontal="right"/>
    </xf>
    <xf numFmtId="0" fontId="2" fillId="0" borderId="33" xfId="27" applyBorder="1" applyAlignment="1">
      <alignment horizontal="right"/>
    </xf>
    <xf numFmtId="0" fontId="2" fillId="0" borderId="36" xfId="27" applyBorder="1" applyAlignment="1">
      <alignment horizontal="right"/>
    </xf>
    <xf numFmtId="0" fontId="29" fillId="0" borderId="30" xfId="27" applyFont="1" applyBorder="1" applyAlignment="1">
      <alignment horizontal="right"/>
    </xf>
    <xf numFmtId="49" fontId="0" fillId="0" borderId="37" xfId="0" applyNumberFormat="1" applyBorder="1" applyAlignment="1">
      <alignment horizontal="right"/>
    </xf>
    <xf numFmtId="49" fontId="22" fillId="2" borderId="42" xfId="0" applyNumberFormat="1" applyFont="1" applyFill="1" applyBorder="1" applyAlignment="1">
      <alignment horizontal="center"/>
    </xf>
    <xf numFmtId="49" fontId="0" fillId="6" borderId="39" xfId="0" applyNumberFormat="1" applyFill="1" applyBorder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185"/>
    <xf numFmtId="0" fontId="29" fillId="0" borderId="0" xfId="185" applyFont="1"/>
    <xf numFmtId="49" fontId="2" fillId="0" borderId="32" xfId="185" applyNumberFormat="1" applyBorder="1"/>
    <xf numFmtId="0" fontId="2" fillId="0" borderId="32" xfId="185" applyBorder="1"/>
    <xf numFmtId="181" fontId="2" fillId="0" borderId="0" xfId="152" applyNumberFormat="1" applyFont="1" applyAlignment="1"/>
    <xf numFmtId="178" fontId="2" fillId="0" borderId="0" xfId="185" applyNumberFormat="1"/>
    <xf numFmtId="180" fontId="2" fillId="0" borderId="0" xfId="185" applyNumberFormat="1" applyAlignment="1">
      <alignment horizontal="right"/>
    </xf>
    <xf numFmtId="0" fontId="2" fillId="0" borderId="20" xfId="157" applyBorder="1" applyAlignment="1">
      <alignment shrinkToFit="1"/>
    </xf>
    <xf numFmtId="49" fontId="2" fillId="0" borderId="20" xfId="157" applyNumberFormat="1" applyBorder="1" applyAlignment="1">
      <alignment shrinkToFit="1"/>
    </xf>
    <xf numFmtId="49" fontId="2" fillId="3" borderId="10" xfId="157" applyNumberFormat="1" applyFill="1" applyBorder="1" applyProtection="1">
      <protection locked="0"/>
    </xf>
    <xf numFmtId="49" fontId="2" fillId="8" borderId="10" xfId="157" applyNumberFormat="1" applyFill="1" applyBorder="1" applyProtection="1">
      <protection locked="0"/>
    </xf>
    <xf numFmtId="0" fontId="2" fillId="8" borderId="10" xfId="182" applyFill="1" applyBorder="1"/>
    <xf numFmtId="178" fontId="2" fillId="8" borderId="10" xfId="182" applyNumberFormat="1" applyFill="1" applyBorder="1"/>
    <xf numFmtId="0" fontId="2" fillId="8" borderId="10" xfId="181" applyFill="1" applyBorder="1"/>
    <xf numFmtId="0" fontId="2" fillId="8" borderId="10" xfId="157" applyFill="1" applyBorder="1"/>
    <xf numFmtId="178" fontId="2" fillId="8" borderId="10" xfId="157" applyNumberFormat="1" applyFill="1" applyBorder="1"/>
    <xf numFmtId="49" fontId="2" fillId="6" borderId="39" xfId="157" applyNumberFormat="1" applyFill="1" applyBorder="1" applyAlignment="1">
      <alignment horizontal="right"/>
    </xf>
    <xf numFmtId="49" fontId="2" fillId="0" borderId="48" xfId="157" applyNumberFormat="1" applyBorder="1" applyAlignment="1">
      <alignment horizontal="right"/>
    </xf>
    <xf numFmtId="49" fontId="2" fillId="0" borderId="37" xfId="157" applyNumberFormat="1" applyBorder="1" applyAlignment="1">
      <alignment horizontal="right"/>
    </xf>
    <xf numFmtId="49" fontId="2" fillId="6" borderId="37" xfId="157" applyNumberFormat="1" applyFill="1" applyBorder="1" applyAlignment="1">
      <alignment horizontal="right"/>
    </xf>
    <xf numFmtId="49" fontId="2" fillId="0" borderId="45" xfId="157" applyNumberFormat="1" applyBorder="1" applyAlignment="1">
      <alignment horizontal="right"/>
    </xf>
    <xf numFmtId="49" fontId="2" fillId="0" borderId="39" xfId="157" applyNumberFormat="1" applyBorder="1" applyAlignment="1">
      <alignment horizontal="right"/>
    </xf>
    <xf numFmtId="49" fontId="2" fillId="0" borderId="20" xfId="157" applyNumberFormat="1" applyBorder="1"/>
    <xf numFmtId="0" fontId="20" fillId="0" borderId="21" xfId="0" applyFont="1" applyBorder="1" applyAlignment="1">
      <alignment horizontal="left" wrapText="1"/>
    </xf>
    <xf numFmtId="0" fontId="2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20" fillId="0" borderId="16" xfId="0" applyFont="1" applyBorder="1" applyAlignment="1">
      <alignment horizontal="left" wrapText="1"/>
    </xf>
    <xf numFmtId="0" fontId="11" fillId="0" borderId="16" xfId="0" applyFont="1" applyBorder="1"/>
    <xf numFmtId="177" fontId="11" fillId="0" borderId="16" xfId="0" applyNumberFormat="1" applyFont="1" applyBorder="1"/>
    <xf numFmtId="177" fontId="10" fillId="0" borderId="16" xfId="0" applyNumberFormat="1" applyFont="1" applyBorder="1"/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49" fontId="1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5" fontId="13" fillId="0" borderId="17" xfId="0" applyNumberFormat="1" applyFont="1" applyBorder="1" applyAlignment="1">
      <alignment horizontal="right"/>
    </xf>
    <xf numFmtId="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distributed"/>
    </xf>
    <xf numFmtId="0" fontId="10" fillId="0" borderId="0" xfId="0" applyFont="1" applyAlignment="1">
      <alignment horizontal="distributed"/>
    </xf>
    <xf numFmtId="0" fontId="10" fillId="0" borderId="16" xfId="0" applyFont="1" applyBorder="1" applyAlignment="1">
      <alignment horizontal="right"/>
    </xf>
    <xf numFmtId="0" fontId="10" fillId="0" borderId="16" xfId="0" applyFont="1" applyBorder="1"/>
    <xf numFmtId="5" fontId="7" fillId="0" borderId="0" xfId="0" applyNumberFormat="1" applyFont="1"/>
    <xf numFmtId="0" fontId="10" fillId="0" borderId="0" xfId="0" applyFont="1"/>
    <xf numFmtId="0" fontId="10" fillId="0" borderId="6" xfId="0" applyFont="1" applyBorder="1"/>
    <xf numFmtId="5" fontId="7" fillId="0" borderId="0" xfId="0" applyNumberFormat="1" applyFont="1" applyAlignment="1">
      <alignment horizontal="left"/>
    </xf>
    <xf numFmtId="0" fontId="10" fillId="0" borderId="6" xfId="0" applyFont="1" applyBorder="1" applyAlignment="1">
      <alignment horizontal="left"/>
    </xf>
    <xf numFmtId="0" fontId="11" fillId="0" borderId="16" xfId="0" applyFont="1" applyBorder="1" applyAlignment="1">
      <alignment horizontal="right"/>
    </xf>
    <xf numFmtId="177" fontId="28" fillId="0" borderId="0" xfId="0" applyNumberFormat="1" applyFont="1" applyAlignment="1">
      <alignment horizontal="center" vertical="center" wrapText="1" shrinkToFit="1"/>
    </xf>
    <xf numFmtId="177" fontId="28" fillId="0" borderId="0" xfId="0" applyNumberFormat="1" applyFont="1" applyAlignment="1">
      <alignment horizontal="center" vertical="center" shrinkToFit="1"/>
    </xf>
    <xf numFmtId="177" fontId="28" fillId="0" borderId="8" xfId="0" applyNumberFormat="1" applyFont="1" applyBorder="1" applyAlignment="1">
      <alignment horizontal="center" vertical="center" shrinkToFit="1"/>
    </xf>
    <xf numFmtId="177" fontId="11" fillId="0" borderId="21" xfId="0" applyNumberFormat="1" applyFont="1" applyBorder="1"/>
    <xf numFmtId="177" fontId="10" fillId="0" borderId="21" xfId="0" applyNumberFormat="1" applyFont="1" applyBorder="1"/>
    <xf numFmtId="49" fontId="11" fillId="0" borderId="17" xfId="0" applyNumberFormat="1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178" fontId="10" fillId="0" borderId="21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1" fillId="0" borderId="0" xfId="0" applyFont="1" applyAlignment="1">
      <alignment horizontal="left" indent="1" shrinkToFit="1"/>
    </xf>
    <xf numFmtId="17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shrinkToFit="1"/>
    </xf>
    <xf numFmtId="49" fontId="2" fillId="0" borderId="50" xfId="0" applyNumberFormat="1" applyFont="1" applyBorder="1" applyAlignment="1">
      <alignment shrinkToFit="1"/>
    </xf>
    <xf numFmtId="0" fontId="0" fillId="0" borderId="51" xfId="0" applyBorder="1" applyAlignment="1">
      <alignment shrinkToFit="1"/>
    </xf>
    <xf numFmtId="49" fontId="2" fillId="0" borderId="50" xfId="157" applyNumberFormat="1" applyBorder="1" applyAlignment="1">
      <alignment shrinkToFit="1"/>
    </xf>
    <xf numFmtId="0" fontId="2" fillId="0" borderId="51" xfId="157" applyBorder="1" applyAlignment="1">
      <alignment shrinkToFit="1"/>
    </xf>
    <xf numFmtId="0" fontId="17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/>
    </xf>
    <xf numFmtId="0" fontId="23" fillId="0" borderId="32" xfId="3" applyFont="1" applyBorder="1" applyAlignment="1">
      <alignment horizontal="center" vertical="center" textRotation="255"/>
    </xf>
  </cellXfs>
  <cellStyles count="246">
    <cellStyle name="パーセント 2" xfId="4" xr:uid="{AC01D95C-1866-4A10-9ED9-05D23AB58A66}"/>
    <cellStyle name="パーセント 2 10" xfId="152" xr:uid="{8BD9F299-CB36-4463-B5E0-5C7B53DF0429}"/>
    <cellStyle name="パーセント 2 11" xfId="148" xr:uid="{14BBBDED-934C-4ACD-ADA4-A21D072A75CC}"/>
    <cellStyle name="パーセント 2 12" xfId="144" xr:uid="{5F9293D4-9C8B-4EC3-AE91-7F98469DD8EA}"/>
    <cellStyle name="パーセント 2 13" xfId="140" xr:uid="{9F465C2B-B0AF-47B8-9631-82522E96F27B}"/>
    <cellStyle name="パーセント 2 14" xfId="136" xr:uid="{8692E8B4-D52E-4E06-94AF-F97F38AB060C}"/>
    <cellStyle name="パーセント 2 15" xfId="132" xr:uid="{2971FDE7-3ABF-489A-9149-A67A58979A1F}"/>
    <cellStyle name="パーセント 2 16" xfId="128" xr:uid="{A6CD8984-AB66-4A45-9001-0866AA2FF713}"/>
    <cellStyle name="パーセント 2 17" xfId="237" xr:uid="{D13546E6-D71E-4EE5-B1FF-11F3A4A738BF}"/>
    <cellStyle name="パーセント 2 18" xfId="233" xr:uid="{3558E07C-6B11-4E3B-A3BE-42F357E59DF0}"/>
    <cellStyle name="パーセント 2 19" xfId="229" xr:uid="{2869388E-1A52-47A8-B8E2-12919997893D}"/>
    <cellStyle name="パーセント 2 2" xfId="184" xr:uid="{2FC093B9-5775-47CD-A643-467A1B7DD38B}"/>
    <cellStyle name="パーセント 2 20" xfId="225" xr:uid="{4EE51A34-88A4-4E11-9FFB-D4FE2749D61E}"/>
    <cellStyle name="パーセント 2 21" xfId="221" xr:uid="{D3176BE4-0684-4B1E-9A43-CB41290B33D5}"/>
    <cellStyle name="パーセント 2 22" xfId="217" xr:uid="{206A77C2-1DF3-40FA-8F58-5BAAAFB95656}"/>
    <cellStyle name="パーセント 2 23" xfId="213" xr:uid="{7EA344FA-E40A-4638-B864-9146B2B128F5}"/>
    <cellStyle name="パーセント 2 24" xfId="209" xr:uid="{0557BF97-5057-4815-98E9-D806A0AE24FF}"/>
    <cellStyle name="パーセント 2 25" xfId="204" xr:uid="{CCD092C4-C338-47A2-B852-EE130EF5F159}"/>
    <cellStyle name="パーセント 2 26" xfId="197" xr:uid="{240EBAF1-1AF7-4B79-A114-FA4AEB23B6A6}"/>
    <cellStyle name="パーセント 2 27" xfId="190" xr:uid="{4D8765AA-8939-4C56-85D3-F2928C3427EA}"/>
    <cellStyle name="パーセント 2 28" xfId="192" xr:uid="{9BD4E781-D00D-4F11-882D-8CC4AA51C7B3}"/>
    <cellStyle name="パーセント 2 29" xfId="199" xr:uid="{5464D82E-55F9-4362-88BA-D43F9955F016}"/>
    <cellStyle name="パーセント 2 3" xfId="180" xr:uid="{F3BE4B18-FD75-4270-AA42-788FE0108B23}"/>
    <cellStyle name="パーセント 2 30" xfId="124" xr:uid="{A842B031-A3B2-4D3C-81AF-1335F90A5363}"/>
    <cellStyle name="パーセント 2 31" xfId="120" xr:uid="{626329E2-AA1C-4CCA-AAB7-E2250EACEEDC}"/>
    <cellStyle name="パーセント 2 32" xfId="116" xr:uid="{41C571EB-F660-47FE-86E3-27C2C736FD45}"/>
    <cellStyle name="パーセント 2 33" xfId="112" xr:uid="{7B4E0795-DBE2-4734-9DF4-BD2AB09B1FC1}"/>
    <cellStyle name="パーセント 2 34" xfId="108" xr:uid="{B3049945-0ACF-49FB-9C32-A098546694F3}"/>
    <cellStyle name="パーセント 2 35" xfId="104" xr:uid="{0F61EF36-399C-4249-AE7C-9E8A821CFBEF}"/>
    <cellStyle name="パーセント 2 36" xfId="100" xr:uid="{39F4D32C-8C0B-4987-B504-1EABB203B20D}"/>
    <cellStyle name="パーセント 2 37" xfId="96" xr:uid="{28928972-25CC-44EA-97E3-05963740680A}"/>
    <cellStyle name="パーセント 2 38" xfId="92" xr:uid="{413E5403-B9A6-4B77-9621-76515FD82621}"/>
    <cellStyle name="パーセント 2 39" xfId="88" xr:uid="{7BBF6B09-EC8B-47C1-8BD2-A9A6F2C0762D}"/>
    <cellStyle name="パーセント 2 4" xfId="176" xr:uid="{80223C83-EC1E-42C8-BEF6-6D990584709E}"/>
    <cellStyle name="パーセント 2 40" xfId="84" xr:uid="{CF993517-3E6B-49DB-96CA-B5B667C1B8D1}"/>
    <cellStyle name="パーセント 2 41" xfId="80" xr:uid="{4CF08D24-91F8-4F23-8DC2-1CB315A58E14}"/>
    <cellStyle name="パーセント 2 42" xfId="76" xr:uid="{971CED83-666E-437A-A0D3-AF3C49E0A5BD}"/>
    <cellStyle name="パーセント 2 43" xfId="72" xr:uid="{94A084FE-5746-48B2-83E0-6B59E51A6093}"/>
    <cellStyle name="パーセント 2 44" xfId="68" xr:uid="{8A830115-C1A8-4D68-8D8A-8816CAB31E20}"/>
    <cellStyle name="パーセント 2 45" xfId="64" xr:uid="{8D42F326-35C7-4C95-BB7C-596916377D23}"/>
    <cellStyle name="パーセント 2 46" xfId="60" xr:uid="{884F0A9B-8C74-40DE-8DDB-8878EE7F2D0E}"/>
    <cellStyle name="パーセント 2 47" xfId="56" xr:uid="{B3611A04-8A12-4B37-B89A-C6DC41A19C6B}"/>
    <cellStyle name="パーセント 2 48" xfId="52" xr:uid="{A1B47FE4-C643-430D-A2FB-B99C9F975AE2}"/>
    <cellStyle name="パーセント 2 49" xfId="48" xr:uid="{9545F08B-7E44-4123-A58C-E7FE67141662}"/>
    <cellStyle name="パーセント 2 5" xfId="172" xr:uid="{E1396F57-6757-444D-B571-2C610EA0609F}"/>
    <cellStyle name="パーセント 2 50" xfId="44" xr:uid="{8D437257-E200-4CEA-8DD5-582FA27DEEC7}"/>
    <cellStyle name="パーセント 2 51" xfId="40" xr:uid="{43F0C63E-DB1F-47D5-BDCB-3C32D15A92D8}"/>
    <cellStyle name="パーセント 2 52" xfId="36" xr:uid="{FF30EBAB-2E01-4A11-8DCA-9DBF61182A05}"/>
    <cellStyle name="パーセント 2 53" xfId="32" xr:uid="{9767F784-B137-4CA1-9DF9-06974351002C}"/>
    <cellStyle name="パーセント 2 54" xfId="28" xr:uid="{A2349E3E-B092-4AAF-83E7-352B1539C57F}"/>
    <cellStyle name="パーセント 2 55" xfId="24" xr:uid="{5C4A21AF-8512-42EA-A745-69940E7CBDCF}"/>
    <cellStyle name="パーセント 2 56" xfId="20" xr:uid="{73316B17-6DCB-4AF9-A25A-541D88C99BD0}"/>
    <cellStyle name="パーセント 2 57" xfId="16" xr:uid="{17C2D8CA-07FD-4BB1-B310-B5CFF02B8E53}"/>
    <cellStyle name="パーセント 2 58" xfId="12" xr:uid="{A6DD6814-6101-47CA-A2E8-C6E25A2DDD01}"/>
    <cellStyle name="パーセント 2 59" xfId="8" xr:uid="{918C7904-C7DA-4F69-90DE-43BF467F509A}"/>
    <cellStyle name="パーセント 2 6" xfId="168" xr:uid="{185A5E55-5277-4833-AA13-D83BB3F567B8}"/>
    <cellStyle name="パーセント 2 7" xfId="164" xr:uid="{6587C64E-25AF-4220-9637-362256D61D4D}"/>
    <cellStyle name="パーセント 2 8" xfId="160" xr:uid="{9115C592-AA9E-410D-A4ED-6B69F975BBB3}"/>
    <cellStyle name="パーセント 2 9" xfId="156" xr:uid="{118D094D-B685-467F-930D-FC80CA48C132}"/>
    <cellStyle name="パーセント 3" xfId="242" xr:uid="{139875A7-84F5-4F23-9981-B8534AF5B2B1}"/>
    <cellStyle name="ハイパーリンク" xfId="2" builtinId="8"/>
    <cellStyle name="ハイパーリンク 2" xfId="245" xr:uid="{6B3DC4B4-C00E-46A8-ACBF-A586B89DF709}"/>
    <cellStyle name="ハイパーリンク 3" xfId="241" xr:uid="{84329079-EBE2-4F1D-BC08-B305B6B335C8}"/>
    <cellStyle name="標準" xfId="0" builtinId="0"/>
    <cellStyle name="標準 10" xfId="157" xr:uid="{546A3440-1E8B-40DB-85A2-126BBEFCAD3F}"/>
    <cellStyle name="標準 11" xfId="153" xr:uid="{8CA2048C-B4CB-41C4-BEAA-BABBFCDA1591}"/>
    <cellStyle name="標準 12" xfId="149" xr:uid="{2E98CDBC-0527-4B00-A491-B91C53FB035D}"/>
    <cellStyle name="標準 13" xfId="145" xr:uid="{A644563F-F5AA-4B21-A731-57C27FB72688}"/>
    <cellStyle name="標準 14" xfId="141" xr:uid="{5A8B4710-5423-4CE8-8ECB-189BCA11CF7F}"/>
    <cellStyle name="標準 15" xfId="137" xr:uid="{54417345-325D-4F94-8B64-75291A0763EB}"/>
    <cellStyle name="標準 16" xfId="133" xr:uid="{C310F351-84FC-4488-9B68-DB660563291F}"/>
    <cellStyle name="標準 17" xfId="129" xr:uid="{584E2FFF-7E9B-457E-B69D-ED9B27FBD48D}"/>
    <cellStyle name="標準 18" xfId="125" xr:uid="{14FE6A3A-4BC7-446C-8276-85541688F2C3}"/>
    <cellStyle name="標準 19" xfId="238" xr:uid="{19357A6C-7D2D-481A-8870-9A9623766CC5}"/>
    <cellStyle name="標準 2" xfId="1" xr:uid="{00000000-0005-0000-0000-000001000000}"/>
    <cellStyle name="標準 2 10" xfId="150" xr:uid="{791C2F4F-E046-492D-85E4-32283050BB90}"/>
    <cellStyle name="標準 2 11" xfId="146" xr:uid="{94CEA6F3-BB1B-46B0-BE20-6D3842A264E3}"/>
    <cellStyle name="標準 2 12" xfId="142" xr:uid="{6799941F-D840-4114-9AE5-6EAC6E651A9C}"/>
    <cellStyle name="標準 2 13" xfId="138" xr:uid="{2F3BB6C3-3A8C-4C8B-80C8-2B10876BACF9}"/>
    <cellStyle name="標準 2 14" xfId="134" xr:uid="{E782F112-4C97-4B3F-9ACD-A09A626F61AB}"/>
    <cellStyle name="標準 2 15" xfId="130" xr:uid="{BFC5DBBA-B637-4547-A8E5-4147C658D2E3}"/>
    <cellStyle name="標準 2 16" xfId="126" xr:uid="{DFBADEE3-1640-44E1-96FB-09C44A2E3BF4}"/>
    <cellStyle name="標準 2 17" xfId="239" xr:uid="{9558B3EF-D1B3-4CC7-94C0-B52CD3B6ADA8}"/>
    <cellStyle name="標準 2 18" xfId="235" xr:uid="{789B8542-7CF3-49F7-A289-1AE423CC8660}"/>
    <cellStyle name="標準 2 19" xfId="231" xr:uid="{F87109EA-3959-40BB-977D-126DA3948A39}"/>
    <cellStyle name="標準 2 2" xfId="182" xr:uid="{F4BD0EFA-3F39-41DD-A295-18E7223376C6}"/>
    <cellStyle name="標準 2 20" xfId="227" xr:uid="{9B75842B-2DD3-4BD9-9BBE-E6E9F4283CE7}"/>
    <cellStyle name="標準 2 21" xfId="223" xr:uid="{13B5CC7D-E65B-4A61-985E-E7824F29CE96}"/>
    <cellStyle name="標準 2 22" xfId="219" xr:uid="{DD06A91D-A5FA-4363-9EDC-3B83B553AB2D}"/>
    <cellStyle name="標準 2 23" xfId="215" xr:uid="{EFC6A3AA-0507-427F-BD6C-6EDE8070154F}"/>
    <cellStyle name="標準 2 24" xfId="211" xr:uid="{E8985CE5-994F-4E54-8A70-8A278A520E04}"/>
    <cellStyle name="標準 2 25" xfId="207" xr:uid="{2AE55298-6F3B-4C4E-8765-4052D1249B6A}"/>
    <cellStyle name="標準 2 26" xfId="206" xr:uid="{4152615B-82FD-4B66-8D5C-0BA86573E037}"/>
    <cellStyle name="標準 2 27" xfId="188" xr:uid="{B8C03A25-30BF-4B79-9829-E458AE2DCF97}"/>
    <cellStyle name="標準 2 28" xfId="187" xr:uid="{D9345D51-7E2A-44D8-A736-BA3221CF6920}"/>
    <cellStyle name="標準 2 29" xfId="193" xr:uid="{1EB77922-7900-43C3-A18D-E92B74C75BFD}"/>
    <cellStyle name="標準 2 3" xfId="178" xr:uid="{9CCC09B8-7DE4-478A-A800-EDE6C605913A}"/>
    <cellStyle name="標準 2 30" xfId="186" xr:uid="{237ECA22-F273-40FD-93F4-BBEB1396FB2A}"/>
    <cellStyle name="標準 2 31" xfId="122" xr:uid="{5A9B283B-8AD3-4746-830D-F59E5FD10D17}"/>
    <cellStyle name="標準 2 32" xfId="118" xr:uid="{16DEFFC9-2902-4C2A-AE09-01E662751C76}"/>
    <cellStyle name="標準 2 33" xfId="114" xr:uid="{344D21DD-1AB1-46DC-BDE6-C52E142A5BEC}"/>
    <cellStyle name="標準 2 34" xfId="110" xr:uid="{9817CBE4-0854-46D0-9F98-70E6DF5D4B33}"/>
    <cellStyle name="標準 2 35" xfId="106" xr:uid="{01ADCF11-2DA2-474B-8FC9-DAD44E0570D4}"/>
    <cellStyle name="標準 2 36" xfId="102" xr:uid="{030DEE85-2657-4B90-BB0E-F4E0EB8AD9C6}"/>
    <cellStyle name="標準 2 37" xfId="98" xr:uid="{51D487E4-BEC0-401F-8C8B-A1E49523B488}"/>
    <cellStyle name="標準 2 38" xfId="94" xr:uid="{5D3D86DD-053C-4EC1-9D3B-A1DF461329F4}"/>
    <cellStyle name="標準 2 39" xfId="90" xr:uid="{28DE22DE-6D54-4E91-BE96-1DEAF11C2A53}"/>
    <cellStyle name="標準 2 4" xfId="174" xr:uid="{AC08FB57-DB80-415E-8EF7-BB004AC40D3B}"/>
    <cellStyle name="標準 2 40" xfId="86" xr:uid="{D167951F-1CD1-4CA3-936E-59EBEB448608}"/>
    <cellStyle name="標準 2 41" xfId="82" xr:uid="{308169EB-7503-4FEB-AF69-5BF746934B6A}"/>
    <cellStyle name="標準 2 42" xfId="78" xr:uid="{AAEFAB42-EEEB-4047-AD73-5650E59082EB}"/>
    <cellStyle name="標準 2 43" xfId="74" xr:uid="{E450126B-5D9B-402E-82CD-D3D659CFFBF3}"/>
    <cellStyle name="標準 2 44" xfId="70" xr:uid="{CCF0E36C-944E-4EF8-BC08-2F0429F58926}"/>
    <cellStyle name="標準 2 45" xfId="66" xr:uid="{31E388FE-4B1C-4630-8CCB-4CA651C7F198}"/>
    <cellStyle name="標準 2 46" xfId="62" xr:uid="{CC7F94E6-E056-4460-BA05-7008B5690DA3}"/>
    <cellStyle name="標準 2 47" xfId="58" xr:uid="{E995919D-8C09-4402-8F2E-2DF45A4CF130}"/>
    <cellStyle name="標準 2 48" xfId="54" xr:uid="{B7E82429-3285-4571-80A2-B5076797FB92}"/>
    <cellStyle name="標準 2 49" xfId="50" xr:uid="{C0E6FCE9-3F6D-4E86-89D3-308083FCBD00}"/>
    <cellStyle name="標準 2 5" xfId="170" xr:uid="{94C9B442-7800-49DE-AE5F-83FB981B6266}"/>
    <cellStyle name="標準 2 50" xfId="46" xr:uid="{67796489-EE18-4B61-8175-D95EE20D6699}"/>
    <cellStyle name="標準 2 51" xfId="42" xr:uid="{A2A7182F-85EC-4DC4-BA5C-80F10F779517}"/>
    <cellStyle name="標準 2 52" xfId="38" xr:uid="{62099B24-9B8D-414F-A517-DF3D25C6A9EC}"/>
    <cellStyle name="標準 2 53" xfId="34" xr:uid="{3EC698EE-FEDB-4683-B917-A1AF81D971BA}"/>
    <cellStyle name="標準 2 54" xfId="30" xr:uid="{30EF73BB-E719-45FD-A4C4-E168FD43956C}"/>
    <cellStyle name="標準 2 55" xfId="26" xr:uid="{942B4B06-FB0F-438D-B372-6C5A73758AED}"/>
    <cellStyle name="標準 2 56" xfId="22" xr:uid="{F9DB2906-3D99-403D-AEE2-A86D8EFCBE17}"/>
    <cellStyle name="標準 2 57" xfId="18" xr:uid="{42B41503-DF14-4787-851B-07DFD72090AF}"/>
    <cellStyle name="標準 2 58" xfId="14" xr:uid="{28EFA2B1-FCD9-4589-854A-49369A9E08D8}"/>
    <cellStyle name="標準 2 59" xfId="10" xr:uid="{38A76F6E-51BB-4E90-BD45-BC6BDCD0C48C}"/>
    <cellStyle name="標準 2 6" xfId="166" xr:uid="{199886C1-43FE-4E87-A808-0A17964E48DC}"/>
    <cellStyle name="標準 2 60" xfId="6" xr:uid="{BB14956A-7A06-4969-97AD-E2F564567F7C}"/>
    <cellStyle name="標準 2 7" xfId="162" xr:uid="{3A183D1B-2FDB-4314-B3A4-8E66689B5E92}"/>
    <cellStyle name="標準 2 8" xfId="158" xr:uid="{59270434-2104-42DF-B313-D3CF371614B5}"/>
    <cellStyle name="標準 2 9" xfId="154" xr:uid="{286E1EBE-2426-4D75-88E5-07D1320BDF73}"/>
    <cellStyle name="標準 20" xfId="234" xr:uid="{24D86E9E-BBE4-4ABF-9F87-216D9382407C}"/>
    <cellStyle name="標準 21" xfId="230" xr:uid="{6095BDB0-BD9E-4146-A803-DC409925E85F}"/>
    <cellStyle name="標準 22" xfId="226" xr:uid="{F5A1ED15-34DB-468F-A6EF-1CBEBFE729C6}"/>
    <cellStyle name="標準 23" xfId="222" xr:uid="{19C51735-7F16-4828-AA8A-B757001E64D4}"/>
    <cellStyle name="標準 24" xfId="218" xr:uid="{13F113A2-188D-464D-BD2E-F79BF39188B0}"/>
    <cellStyle name="標準 25" xfId="214" xr:uid="{49BC0F35-DF36-426F-87A4-8F09A8E033E4}"/>
    <cellStyle name="標準 26" xfId="210" xr:uid="{55E8F043-0125-4C43-9D84-1F4C0E39781F}"/>
    <cellStyle name="標準 27" xfId="205" xr:uid="{2042D2E6-298B-4AED-9FBC-85B86AE7223B}"/>
    <cellStyle name="標準 28" xfId="201" xr:uid="{DB81A641-C323-4A8B-95D2-60CD00DF39D0}"/>
    <cellStyle name="標準 29" xfId="189" xr:uid="{7ED9F4E9-2816-44F7-ABB9-30206BF45A86}"/>
    <cellStyle name="標準 3" xfId="3" xr:uid="{64686ACE-357A-4A18-928B-0A0ADE5A5C6F}"/>
    <cellStyle name="標準 3 10" xfId="185" xr:uid="{DB7E6CBD-290B-4337-9A0C-B407480446B0}"/>
    <cellStyle name="標準 3 11" xfId="151" xr:uid="{32179EC0-DFC5-4503-B6AD-61916F15E845}"/>
    <cellStyle name="標準 3 12" xfId="147" xr:uid="{869549E8-4AB5-419E-8F3C-D9380162D234}"/>
    <cellStyle name="標準 3 13" xfId="143" xr:uid="{C665D455-1AEA-4A41-8FB6-869767F5975A}"/>
    <cellStyle name="標準 3 14" xfId="139" xr:uid="{15E19AD0-3F1E-4DC3-8498-81536EE79EF7}"/>
    <cellStyle name="標準 3 15" xfId="135" xr:uid="{D6A25E01-E9FD-451E-8398-7D58AB6839A5}"/>
    <cellStyle name="標準 3 16" xfId="131" xr:uid="{1EC8E5F0-5DB1-4AA9-8082-239D60A31AB9}"/>
    <cellStyle name="標準 3 17" xfId="127" xr:uid="{BACA565B-1C73-4120-B322-1AD4BFA3382A}"/>
    <cellStyle name="標準 3 18" xfId="236" xr:uid="{C9F5FD23-61BB-499E-9285-95C446405650}"/>
    <cellStyle name="標準 3 19" xfId="232" xr:uid="{712AE51F-C602-405C-A4CB-5CDE37A000CC}"/>
    <cellStyle name="標準 3 2" xfId="183" xr:uid="{30EF2DB6-50A4-4BC4-A894-A33E194E07D7}"/>
    <cellStyle name="標準 3 20" xfId="228" xr:uid="{E8C5E75F-94C6-454C-B76F-A76F1E10C41D}"/>
    <cellStyle name="標準 3 21" xfId="224" xr:uid="{186E3797-7DC3-417F-85F6-BBFC57C06DD6}"/>
    <cellStyle name="標準 3 22" xfId="220" xr:uid="{384BDAF0-7B29-458C-A37E-ADB10FEFC496}"/>
    <cellStyle name="標準 3 23" xfId="216" xr:uid="{F23F2FC1-1EFE-4BB7-ABFA-A0DB9ED60666}"/>
    <cellStyle name="標準 3 24" xfId="212" xr:uid="{B07D8C37-0D13-4617-90F5-811AA9471A5B}"/>
    <cellStyle name="標準 3 25" xfId="208" xr:uid="{E0A5E8F3-490C-462A-AE5D-3AB99B502F6A}"/>
    <cellStyle name="標準 3 26" xfId="196" xr:uid="{0C657D8C-986F-4481-BFB6-5530FCAC238E}"/>
    <cellStyle name="標準 3 27" xfId="202" xr:uid="{67EF4E80-B968-4F76-BB5A-4474CBAB87C1}"/>
    <cellStyle name="標準 3 28" xfId="203" xr:uid="{D0C0156C-21D0-4E7B-91DC-EDF48DEFC3C1}"/>
    <cellStyle name="標準 3 29" xfId="195" xr:uid="{34B13502-07FA-4FDD-A9A7-F22EF668881E}"/>
    <cellStyle name="標準 3 3" xfId="179" xr:uid="{D94ED39D-FC2F-45E7-B327-B0AB05389E55}"/>
    <cellStyle name="標準 3 30" xfId="191" xr:uid="{F9DB4EB0-539F-4C3A-A414-61669E017A5F}"/>
    <cellStyle name="標準 3 31" xfId="123" xr:uid="{4B651024-2565-4C3E-9E97-339642886964}"/>
    <cellStyle name="標準 3 32" xfId="119" xr:uid="{8D44F56F-391C-4208-8EFE-5A779992EE35}"/>
    <cellStyle name="標準 3 33" xfId="115" xr:uid="{067AE76B-65D5-4122-A962-C2E1CDF58EB3}"/>
    <cellStyle name="標準 3 34" xfId="111" xr:uid="{172687A7-EA19-4E69-BE41-F54DB0971FE4}"/>
    <cellStyle name="標準 3 35" xfId="107" xr:uid="{13CC0AA5-9057-40B0-B39F-30D497EC2024}"/>
    <cellStyle name="標準 3 36" xfId="103" xr:uid="{EC4DF26E-D9B7-4920-9C25-CD3BCD67354C}"/>
    <cellStyle name="標準 3 37" xfId="99" xr:uid="{3A1E93B6-2E58-4AC9-AD0C-2640146655F0}"/>
    <cellStyle name="標準 3 38" xfId="95" xr:uid="{8DD01E22-813D-48CE-A681-00355AEF92D1}"/>
    <cellStyle name="標準 3 39" xfId="91" xr:uid="{10007237-6193-41C0-9B6F-BEAF18491020}"/>
    <cellStyle name="標準 3 4" xfId="175" xr:uid="{3BD7C9E9-7A8A-473A-9E5F-756C3ED2B6C6}"/>
    <cellStyle name="標準 3 40" xfId="87" xr:uid="{C830271F-2EED-4E5A-9A7B-EC3D8C2FA005}"/>
    <cellStyle name="標準 3 41" xfId="83" xr:uid="{C3BFB965-14EF-4420-B03E-3F7CF94C649E}"/>
    <cellStyle name="標準 3 42" xfId="79" xr:uid="{F34902C0-ED16-4610-99A2-49BCE794CE00}"/>
    <cellStyle name="標準 3 43" xfId="75" xr:uid="{33CB81BD-EE1A-4853-B0FE-E0056C74F1A7}"/>
    <cellStyle name="標準 3 44" xfId="71" xr:uid="{1A474491-670D-4BFB-82F7-6686D939CA16}"/>
    <cellStyle name="標準 3 45" xfId="67" xr:uid="{A4009996-EA13-4E22-A6CA-D285B06CF3C2}"/>
    <cellStyle name="標準 3 46" xfId="63" xr:uid="{925E15A8-652D-4766-8C07-38539B42768D}"/>
    <cellStyle name="標準 3 47" xfId="59" xr:uid="{9876429D-EA59-460C-AAF6-D4EA840E1EE3}"/>
    <cellStyle name="標準 3 48" xfId="55" xr:uid="{5DBB4548-BB35-4E7D-B656-C0751BAF4AEC}"/>
    <cellStyle name="標準 3 49" xfId="51" xr:uid="{1FB4BA99-2C84-45EE-8028-4D71251ADF50}"/>
    <cellStyle name="標準 3 5" xfId="171" xr:uid="{3B537476-5CCC-4BAB-AB5A-50FDD0A61759}"/>
    <cellStyle name="標準 3 50" xfId="47" xr:uid="{7A41F7B7-B8E6-42E8-B246-A5FDA8AFCBCA}"/>
    <cellStyle name="標準 3 51" xfId="43" xr:uid="{9A4E2264-7E68-4C0B-973A-C389DF0D6B29}"/>
    <cellStyle name="標準 3 52" xfId="39" xr:uid="{A6315CA0-9270-4ACD-84F0-27EB5A684B5A}"/>
    <cellStyle name="標準 3 53" xfId="35" xr:uid="{007168B1-8409-4D47-8CB5-659F86807E50}"/>
    <cellStyle name="標準 3 54" xfId="31" xr:uid="{A917084C-1838-472C-A952-CA14E0776748}"/>
    <cellStyle name="標準 3 55" xfId="27" xr:uid="{CA8DB128-A820-482C-A8A0-867FDF63F69F}"/>
    <cellStyle name="標準 3 56" xfId="23" xr:uid="{F31A079A-2A4D-4B6D-A580-4510F6FBF6B9}"/>
    <cellStyle name="標準 3 57" xfId="19" xr:uid="{1769E1BD-1C04-4EE3-B7DB-ED1E551533DE}"/>
    <cellStyle name="標準 3 58" xfId="15" xr:uid="{E5A3E182-3483-4B08-A014-96852812369F}"/>
    <cellStyle name="標準 3 59" xfId="11" xr:uid="{DFB82FED-58C3-43AE-811E-1AD56C726F9C}"/>
    <cellStyle name="標準 3 6" xfId="167" xr:uid="{EED5EC41-9A15-4457-9D91-FC55BF4859A5}"/>
    <cellStyle name="標準 3 60" xfId="7" xr:uid="{6CD3986B-53FD-49EA-A4A0-EFEC6BDFFD99}"/>
    <cellStyle name="標準 3 7" xfId="163" xr:uid="{27900D39-333A-43C1-9B94-F49445E240A5}"/>
    <cellStyle name="標準 3 8" xfId="159" xr:uid="{84592F1E-E994-4E46-B50A-DA9E2F3AE561}"/>
    <cellStyle name="標準 3 9" xfId="155" xr:uid="{DA2527B6-C8FC-4E9C-88D3-0906AC0AA3CA}"/>
    <cellStyle name="標準 30" xfId="194" xr:uid="{833DE85A-6EA6-4FCD-AF9B-5CF078A4F62F}"/>
    <cellStyle name="標準 31" xfId="200" xr:uid="{6D66472F-4259-4D7D-831D-9548606B0235}"/>
    <cellStyle name="標準 32" xfId="198" xr:uid="{D90D82A5-B100-4521-8B9E-BD8FBFB01FD5}"/>
    <cellStyle name="標準 33" xfId="243" xr:uid="{B500115A-B69E-4D8C-9A4B-AD01992FA3F8}"/>
    <cellStyle name="標準 34" xfId="121" xr:uid="{7D8E5BFF-534C-4262-95B7-2921B0827805}"/>
    <cellStyle name="標準 35" xfId="117" xr:uid="{3B52263F-291F-4166-AEEF-FDC5EB0A633E}"/>
    <cellStyle name="標準 36" xfId="113" xr:uid="{AF3C83A7-C381-405A-975B-7F15F4610EB5}"/>
    <cellStyle name="標準 37" xfId="109" xr:uid="{7B03CE3C-63BA-4520-8818-DA117BCE7077}"/>
    <cellStyle name="標準 38" xfId="105" xr:uid="{83944178-7EA8-4CEC-8504-BBA8DDF4E378}"/>
    <cellStyle name="標準 39" xfId="101" xr:uid="{38927C62-83A8-4553-A3A4-19E038A40FCB}"/>
    <cellStyle name="標準 4" xfId="181" xr:uid="{451D8186-9A8F-4C67-8AC8-B0CA9CE51791}"/>
    <cellStyle name="標準 40" xfId="97" xr:uid="{5919EE2C-50B9-4092-AB0E-B7836340D6E2}"/>
    <cellStyle name="標準 41" xfId="93" xr:uid="{98547FF6-7B71-4B74-A29B-EBB9AE60E303}"/>
    <cellStyle name="標準 42" xfId="89" xr:uid="{C1D843A6-1EC5-4B81-BB65-D876B0E4C02D}"/>
    <cellStyle name="標準 43" xfId="85" xr:uid="{224A1B3F-B5F7-4CEF-982C-B347AFE4FC34}"/>
    <cellStyle name="標準 44" xfId="81" xr:uid="{8703E7BD-8339-4126-94F4-010E0769CE57}"/>
    <cellStyle name="標準 45" xfId="77" xr:uid="{DFF2AAD4-E126-4043-B0A8-8B7A13D99D36}"/>
    <cellStyle name="標準 46" xfId="73" xr:uid="{EB713186-DBF1-4C04-AE8A-AE0A53075B26}"/>
    <cellStyle name="標準 47" xfId="69" xr:uid="{AEC9F5BA-FC67-45FB-A24E-2CDA83FCB766}"/>
    <cellStyle name="標準 48" xfId="65" xr:uid="{473EA980-5380-4859-8439-FD7707C3C752}"/>
    <cellStyle name="標準 49" xfId="61" xr:uid="{73C9991E-1583-43D6-ADF5-D71E969895D6}"/>
    <cellStyle name="標準 5" xfId="177" xr:uid="{7CA4504F-E461-48D3-81D9-26C757066B2F}"/>
    <cellStyle name="標準 5 2" xfId="244" xr:uid="{D978F71A-8A91-47CD-B9A2-0B28D6BDAF4F}"/>
    <cellStyle name="標準 5 3" xfId="240" xr:uid="{2B64ACD7-7775-492F-BEEA-77A726AB31F3}"/>
    <cellStyle name="標準 50" xfId="57" xr:uid="{317DA6EE-DBEF-42D4-B408-930EDFC4D9F0}"/>
    <cellStyle name="標準 51" xfId="53" xr:uid="{6C319362-8343-48D6-A5A4-FACAA972BA9D}"/>
    <cellStyle name="標準 52" xfId="49" xr:uid="{D5722AC1-9662-4F78-85AC-F5BCBA46AF5D}"/>
    <cellStyle name="標準 53" xfId="45" xr:uid="{9D5C2A19-E2C8-4AD8-BD08-AAC0A49C41C2}"/>
    <cellStyle name="標準 54" xfId="41" xr:uid="{1E807C68-F53D-48F0-9EF3-E416530F3BB7}"/>
    <cellStyle name="標準 55" xfId="37" xr:uid="{A5015C34-5EED-40BC-8703-96DD1D7D8418}"/>
    <cellStyle name="標準 56" xfId="33" xr:uid="{61640F6C-9642-4B18-9724-BBE3F063AD7D}"/>
    <cellStyle name="標準 57" xfId="29" xr:uid="{EDA12B27-08CD-4CC3-ADD1-74C2A94D5604}"/>
    <cellStyle name="標準 58" xfId="25" xr:uid="{8285DED3-D43C-41B8-8448-4BC8FEAB3523}"/>
    <cellStyle name="標準 59" xfId="21" xr:uid="{1F0F0737-ADA8-49D5-B77F-5904609D459D}"/>
    <cellStyle name="標準 6" xfId="173" xr:uid="{ECBB354E-7333-406B-814E-5BCE7E2FB94C}"/>
    <cellStyle name="標準 60" xfId="17" xr:uid="{9921DAA8-D68E-4389-9B9C-7CA056E5EB11}"/>
    <cellStyle name="標準 61" xfId="13" xr:uid="{9F88D70D-7C97-47ED-BD0F-98D3B2F340E5}"/>
    <cellStyle name="標準 62" xfId="9" xr:uid="{DAB8AF00-8D87-474A-BF12-097FA329CCBB}"/>
    <cellStyle name="標準 63" xfId="5" xr:uid="{9CEBC149-B62E-474F-8530-150CF3344F2C}"/>
    <cellStyle name="標準 7" xfId="169" xr:uid="{B500467B-A829-4745-8750-DD09C6172AE5}"/>
    <cellStyle name="標準 8" xfId="165" xr:uid="{EF6EF08E-B9E5-4ADF-A39C-F26C37EFEE2A}"/>
    <cellStyle name="標準 9" xfId="161" xr:uid="{2734D75C-E855-4037-9AC4-40BD9BBE8E4C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見積金額構成比率</a:t>
            </a:r>
          </a:p>
        </c:rich>
      </c:tx>
      <c:layout>
        <c:manualLayout>
          <c:xMode val="edge"/>
          <c:yMode val="edge"/>
          <c:x val="0.43536711478800416"/>
          <c:y val="2.0338983050847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86246122026888"/>
          <c:y val="0.23389830508474577"/>
          <c:w val="0.37228541882109617"/>
          <c:h val="0.6101694915254237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0AC-4CA9-B6FC-59BD64501C7E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AC-4CA9-B6FC-59BD64501C7E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0AC-4CA9-B6FC-59BD64501C7E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AC-4CA9-B6FC-59BD64501C7E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0AC-4CA9-B6FC-59BD64501C7E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AC-4CA9-B6FC-59BD64501C7E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00AC-4CA9-B6FC-59BD64501C7E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AC-4CA9-B6FC-59BD64501C7E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0AC-4CA9-B6FC-59BD64501C7E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0AC-4CA9-B6FC-59BD64501C7E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00AC-4CA9-B6FC-59BD64501C7E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0AC-4CA9-B6FC-59BD64501C7E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明細書!$B$2:$B$25</c:f>
              <c:strCache>
                <c:ptCount val="24"/>
                <c:pt idx="0">
                  <c:v>仮設工事</c:v>
                </c:pt>
                <c:pt idx="1">
                  <c:v>基礎工事</c:v>
                </c:pt>
                <c:pt idx="2">
                  <c:v>木工事</c:v>
                </c:pt>
                <c:pt idx="3">
                  <c:v>断熱工事</c:v>
                </c:pt>
                <c:pt idx="4">
                  <c:v>屋根工事</c:v>
                </c:pt>
                <c:pt idx="5">
                  <c:v>板金・樋工事</c:v>
                </c:pt>
                <c:pt idx="6">
                  <c:v>外部建具工事</c:v>
                </c:pt>
                <c:pt idx="7">
                  <c:v>内部建具工事</c:v>
                </c:pt>
                <c:pt idx="8">
                  <c:v>外装工事</c:v>
                </c:pt>
                <c:pt idx="9">
                  <c:v>左官工事</c:v>
                </c:pt>
                <c:pt idx="10">
                  <c:v>タイル工事</c:v>
                </c:pt>
                <c:pt idx="11">
                  <c:v>塗装工事</c:v>
                </c:pt>
                <c:pt idx="12">
                  <c:v>内装工事</c:v>
                </c:pt>
                <c:pt idx="13">
                  <c:v>住宅設備機器工事</c:v>
                </c:pt>
                <c:pt idx="14">
                  <c:v>給排水設備工事</c:v>
                </c:pt>
                <c:pt idx="15">
                  <c:v>電気設備工事</c:v>
                </c:pt>
                <c:pt idx="16">
                  <c:v>換気システム工事</c:v>
                </c:pt>
                <c:pt idx="17">
                  <c:v>エアコン工事</c:v>
                </c:pt>
                <c:pt idx="18">
                  <c:v>太陽光発電システム工事</c:v>
                </c:pt>
                <c:pt idx="19">
                  <c:v>造作家具工事</c:v>
                </c:pt>
                <c:pt idx="20">
                  <c:v>雑工事</c:v>
                </c:pt>
                <c:pt idx="21">
                  <c:v>管理費</c:v>
                </c:pt>
                <c:pt idx="22">
                  <c:v>屋外付帯工事</c:v>
                </c:pt>
                <c:pt idx="23">
                  <c:v>諸費用</c:v>
                </c:pt>
              </c:strCache>
            </c:strRef>
          </c:cat>
          <c:val>
            <c:numRef>
              <c:f>明細書!$G$2:$G$25</c:f>
              <c:numCache>
                <c:formatCode>#,##0</c:formatCode>
                <c:ptCount val="24"/>
                <c:pt idx="0">
                  <c:v>914151</c:v>
                </c:pt>
                <c:pt idx="1">
                  <c:v>2275605</c:v>
                </c:pt>
                <c:pt idx="2">
                  <c:v>12317611</c:v>
                </c:pt>
                <c:pt idx="3">
                  <c:v>1256721</c:v>
                </c:pt>
                <c:pt idx="4">
                  <c:v>739277</c:v>
                </c:pt>
                <c:pt idx="5">
                  <c:v>202780</c:v>
                </c:pt>
                <c:pt idx="6">
                  <c:v>981800</c:v>
                </c:pt>
                <c:pt idx="7">
                  <c:v>1133700</c:v>
                </c:pt>
                <c:pt idx="8">
                  <c:v>2087931</c:v>
                </c:pt>
                <c:pt idx="9">
                  <c:v>254156</c:v>
                </c:pt>
                <c:pt idx="10">
                  <c:v>254760</c:v>
                </c:pt>
                <c:pt idx="11">
                  <c:v>42900</c:v>
                </c:pt>
                <c:pt idx="12">
                  <c:v>896446</c:v>
                </c:pt>
                <c:pt idx="13">
                  <c:v>2340500</c:v>
                </c:pt>
                <c:pt idx="14">
                  <c:v>242900</c:v>
                </c:pt>
                <c:pt idx="15">
                  <c:v>1243650</c:v>
                </c:pt>
                <c:pt idx="16">
                  <c:v>472052</c:v>
                </c:pt>
                <c:pt idx="17">
                  <c:v>351500</c:v>
                </c:pt>
                <c:pt idx="18">
                  <c:v>981700</c:v>
                </c:pt>
                <c:pt idx="19">
                  <c:v>57200</c:v>
                </c:pt>
                <c:pt idx="20">
                  <c:v>160385</c:v>
                </c:pt>
                <c:pt idx="21">
                  <c:v>876231</c:v>
                </c:pt>
                <c:pt idx="22">
                  <c:v>1347250</c:v>
                </c:pt>
                <c:pt idx="23">
                  <c:v>1270000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AC-4CA9-B6FC-59BD64501C7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グラフ1"/>
  <sheetViews>
    <sheetView workbookViewId="0"/>
  </sheetViews>
  <pageMargins left="0.75" right="0.75" top="1" bottom="1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29133</xdr:colOff>
      <xdr:row>15</xdr:row>
      <xdr:rowOff>252021</xdr:rowOff>
    </xdr:from>
    <xdr:to>
      <xdr:col>37</xdr:col>
      <xdr:colOff>94065</xdr:colOff>
      <xdr:row>19</xdr:row>
      <xdr:rowOff>169994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62" t="16778" b="13809"/>
        <a:stretch/>
      </xdr:blipFill>
      <xdr:spPr>
        <a:xfrm>
          <a:off x="6438898" y="3468109"/>
          <a:ext cx="1867398" cy="9675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22</xdr:row>
          <xdr:rowOff>47625</xdr:rowOff>
        </xdr:from>
        <xdr:to>
          <xdr:col>6</xdr:col>
          <xdr:colOff>1257300</xdr:colOff>
          <xdr:row>24</xdr:row>
          <xdr:rowOff>19050</xdr:rowOff>
        </xdr:to>
        <xdr:sp macro="" textlink="">
          <xdr:nvSpPr>
            <xdr:cNvPr id="3086" name="CommandButton1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30</xdr:row>
          <xdr:rowOff>152400</xdr:rowOff>
        </xdr:from>
        <xdr:to>
          <xdr:col>7</xdr:col>
          <xdr:colOff>952500</xdr:colOff>
          <xdr:row>31</xdr:row>
          <xdr:rowOff>285750</xdr:rowOff>
        </xdr:to>
        <xdr:sp macro="" textlink="">
          <xdr:nvSpPr>
            <xdr:cNvPr id="3087" name="CommandButton2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4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323848</xdr:colOff>
          <xdr:row>33</xdr:row>
          <xdr:rowOff>0</xdr:rowOff>
        </xdr:from>
        <xdr:to>
          <xdr:col>2</xdr:col>
          <xdr:colOff>3809</xdr:colOff>
          <xdr:row>38</xdr:row>
          <xdr:rowOff>150743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34:$L$38" spid="_x0000_s61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23848" y="6534150"/>
              <a:ext cx="3086101" cy="10175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1464160</xdr:colOff>
          <xdr:row>33</xdr:row>
          <xdr:rowOff>19050</xdr:rowOff>
        </xdr:from>
        <xdr:to>
          <xdr:col>8</xdr:col>
          <xdr:colOff>965386</xdr:colOff>
          <xdr:row>38</xdr:row>
          <xdr:rowOff>152399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N$34:$U$38" spid="_x0000_s619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590601" y="8692403"/>
              <a:ext cx="6090285" cy="973791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drawing" Target="../drawings/drawing3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nipponjuken.co.jp/" TargetMode="External"/><Relationship Id="rId6" Type="http://schemas.openxmlformats.org/officeDocument/2006/relationships/image" Target="../media/image2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2.vml"/><Relationship Id="rId9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  <pageSetUpPr fitToPage="1"/>
  </sheetPr>
  <dimension ref="A1:AO29"/>
  <sheetViews>
    <sheetView showGridLines="0" view="pageBreakPreview" zoomScale="85" zoomScaleNormal="100" zoomScaleSheetLayoutView="85" workbookViewId="0">
      <selection activeCell="A2" sqref="A2"/>
    </sheetView>
  </sheetViews>
  <sheetFormatPr defaultRowHeight="13.5"/>
  <cols>
    <col min="1" max="1" width="2.125" customWidth="1"/>
    <col min="2" max="4" width="3.25" customWidth="1"/>
    <col min="5" max="5" width="4.75" customWidth="1"/>
    <col min="6" max="6" width="1.625" customWidth="1"/>
    <col min="7" max="40" width="3.25" customWidth="1"/>
    <col min="41" max="41" width="2.125" customWidth="1"/>
    <col min="42" max="50" width="6.625" customWidth="1"/>
  </cols>
  <sheetData>
    <row r="1" spans="1:41" ht="13.5" customHeight="1" thickBot="1"/>
    <row r="2" spans="1:41" ht="12.6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9"/>
    </row>
    <row r="3" spans="1:41" ht="23.25" customHeight="1">
      <c r="A3" s="120"/>
      <c r="C3" s="118"/>
      <c r="D3" s="118"/>
      <c r="E3" s="245" t="str">
        <f>条件!H28</f>
        <v>契約後変更</v>
      </c>
      <c r="F3" s="245"/>
      <c r="G3" s="245"/>
      <c r="H3" s="245"/>
      <c r="I3" s="245"/>
      <c r="J3" s="245"/>
      <c r="P3" s="250" t="s">
        <v>30</v>
      </c>
      <c r="Q3" s="250"/>
      <c r="R3" s="250"/>
      <c r="S3" s="250"/>
      <c r="T3" s="250"/>
      <c r="U3" s="250"/>
      <c r="V3" s="250"/>
      <c r="W3" s="250"/>
      <c r="X3" s="250"/>
      <c r="Y3" s="250"/>
      <c r="Z3" s="250"/>
      <c r="AO3" s="121"/>
    </row>
    <row r="4" spans="1:41" ht="23.25" customHeight="1">
      <c r="A4" s="44"/>
      <c r="B4" s="118"/>
      <c r="C4" s="118"/>
      <c r="D4" s="118"/>
      <c r="E4" s="245"/>
      <c r="F4" s="245"/>
      <c r="G4" s="245"/>
      <c r="H4" s="245"/>
      <c r="I4" s="245"/>
      <c r="J4" s="245"/>
      <c r="K4" s="40"/>
      <c r="L4" s="40"/>
      <c r="M4" s="40"/>
      <c r="N4" s="40"/>
      <c r="O4" s="4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40"/>
      <c r="AB4" s="40"/>
      <c r="AE4" s="4"/>
      <c r="AF4" s="4"/>
      <c r="AN4" s="4"/>
      <c r="AO4" s="43"/>
    </row>
    <row r="5" spans="1:41" ht="18" customHeight="1">
      <c r="A5" s="44"/>
      <c r="B5" s="40"/>
      <c r="C5" s="40"/>
      <c r="D5" s="40"/>
      <c r="E5" s="122"/>
      <c r="F5" s="122"/>
      <c r="G5" s="122"/>
      <c r="H5" s="122"/>
      <c r="I5" s="122"/>
      <c r="J5" s="122"/>
      <c r="K5" s="40"/>
      <c r="L5" s="40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0"/>
      <c r="AB5" s="40"/>
      <c r="AC5" s="45" t="s">
        <v>84</v>
      </c>
      <c r="AE5" s="4"/>
      <c r="AF5" s="253" t="str">
        <f>条件!H26</f>
        <v>25-2507(13)-H230堀-NO-FT⑦04B</v>
      </c>
      <c r="AG5" s="253"/>
      <c r="AH5" s="253"/>
      <c r="AI5" s="253"/>
      <c r="AJ5" s="253"/>
      <c r="AK5" s="253"/>
      <c r="AL5" s="253"/>
      <c r="AM5" s="253"/>
      <c r="AN5" s="253"/>
      <c r="AO5" s="43"/>
    </row>
    <row r="6" spans="1:41" ht="18" customHeight="1">
      <c r="A6" s="3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0" t="s">
        <v>91</v>
      </c>
      <c r="AE6" s="51"/>
      <c r="AF6" s="252">
        <f>条件!H27</f>
        <v>45955</v>
      </c>
      <c r="AG6" s="252"/>
      <c r="AH6" s="252"/>
      <c r="AI6" s="252"/>
      <c r="AJ6" s="252"/>
      <c r="AK6" s="252"/>
      <c r="AL6" s="52"/>
      <c r="AM6" s="52"/>
      <c r="AN6" s="4"/>
      <c r="AO6" s="5"/>
    </row>
    <row r="7" spans="1:41" ht="18" customHeight="1">
      <c r="A7" s="34"/>
      <c r="B7" s="237" t="str">
        <f>条件!$E$13</f>
        <v>古居 徹朗 様・古居 百恵</v>
      </c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53"/>
      <c r="AK7" s="54"/>
      <c r="AL7" s="54"/>
      <c r="AM7" s="54"/>
      <c r="AN7" s="54"/>
      <c r="AO7" s="5"/>
    </row>
    <row r="8" spans="1:41" ht="18" customHeight="1">
      <c r="A8" s="34"/>
      <c r="B8" s="238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44" t="s">
        <v>31</v>
      </c>
      <c r="S8" s="244"/>
      <c r="T8" s="56"/>
      <c r="U8" s="55"/>
      <c r="V8" s="55"/>
      <c r="W8" s="4"/>
      <c r="X8" s="4"/>
      <c r="Y8" s="4"/>
      <c r="Z8" s="57"/>
      <c r="AA8" s="57"/>
      <c r="AB8" s="251" t="str">
        <f>IF(条件!$H$10="","日本住建株式会社",条件!$H$10)</f>
        <v>日本住建株式会社</v>
      </c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58"/>
      <c r="AN8" s="58"/>
      <c r="AO8" s="5"/>
    </row>
    <row r="9" spans="1:41" ht="18" customHeight="1" thickBot="1">
      <c r="A9" s="34"/>
      <c r="B9" s="239"/>
      <c r="C9" s="239"/>
      <c r="D9" s="239"/>
      <c r="E9" s="239"/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44"/>
      <c r="S9" s="244"/>
      <c r="T9" s="56"/>
      <c r="U9" s="55"/>
      <c r="V9" s="55"/>
      <c r="W9" s="4"/>
      <c r="X9" s="4"/>
      <c r="Y9" s="57"/>
      <c r="Z9" s="57"/>
      <c r="AA9" s="57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58"/>
      <c r="AN9" s="58"/>
      <c r="AO9" s="5"/>
    </row>
    <row r="10" spans="1:41" ht="18" customHeight="1">
      <c r="A10" s="35"/>
      <c r="B10" s="59"/>
      <c r="C10" s="6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4"/>
      <c r="R10" s="59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G10" s="4" t="s">
        <v>74</v>
      </c>
      <c r="AI10" s="4"/>
      <c r="AJ10" s="4"/>
      <c r="AK10" s="4"/>
      <c r="AL10" s="4"/>
      <c r="AM10" s="4"/>
      <c r="AN10" s="4"/>
      <c r="AO10" s="5"/>
    </row>
    <row r="11" spans="1:41" ht="18" customHeight="1">
      <c r="A11" s="34"/>
      <c r="B11" s="4"/>
      <c r="C11" s="61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62"/>
      <c r="AB11" s="63"/>
      <c r="AC11" s="42" t="s">
        <v>69</v>
      </c>
      <c r="AD11" s="64" t="s">
        <v>72</v>
      </c>
      <c r="AF11" s="64"/>
      <c r="AG11" s="64"/>
      <c r="AH11" s="64"/>
      <c r="AI11" s="64"/>
      <c r="AJ11" s="64"/>
      <c r="AK11" s="64"/>
      <c r="AL11" s="64"/>
      <c r="AM11" s="64"/>
      <c r="AN11" s="63"/>
      <c r="AO11" s="5"/>
    </row>
    <row r="12" spans="1:41" ht="18" customHeight="1">
      <c r="A12" s="34"/>
      <c r="B12" s="4"/>
      <c r="C12" s="6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B12" s="65"/>
      <c r="AC12" s="66" t="str">
        <f>IF(条件!$H$13="","愛知県安城市城南町1-1-1",条件!$H$13)</f>
        <v>愛知県安城市城南町1-1-1</v>
      </c>
      <c r="AE12" s="66"/>
      <c r="AF12" s="66"/>
      <c r="AG12" s="66"/>
      <c r="AH12" s="66"/>
      <c r="AI12" s="66"/>
      <c r="AJ12" s="66"/>
      <c r="AK12" s="66"/>
      <c r="AL12" s="66"/>
      <c r="AM12" s="66"/>
      <c r="AN12" s="67"/>
      <c r="AO12" s="5"/>
    </row>
    <row r="13" spans="1:41" ht="18" customHeight="1">
      <c r="A13" s="35"/>
      <c r="B13" s="59"/>
      <c r="C13" s="6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4"/>
      <c r="R13" s="59"/>
      <c r="S13" s="4"/>
      <c r="T13" s="4"/>
      <c r="U13" s="4"/>
      <c r="V13" s="4"/>
      <c r="W13" s="4"/>
      <c r="X13" s="4"/>
      <c r="Y13" s="4"/>
      <c r="Z13" s="4"/>
      <c r="AA13" s="68"/>
      <c r="AB13" s="68"/>
      <c r="AC13" s="4" t="s">
        <v>88</v>
      </c>
      <c r="AE13" s="64" t="str">
        <f>IF(条件!$H$15="","0566-74-1011（代）",条件!$H$15)</f>
        <v>0566-74-1011（代）</v>
      </c>
      <c r="AG13" s="64"/>
      <c r="AH13" s="64"/>
      <c r="AI13" s="64"/>
      <c r="AJ13" s="64"/>
      <c r="AK13" s="64"/>
      <c r="AL13" s="64"/>
      <c r="AM13" s="64"/>
      <c r="AN13" s="64"/>
      <c r="AO13" s="5"/>
    </row>
    <row r="14" spans="1:41" ht="18" customHeight="1">
      <c r="A14" s="34"/>
      <c r="B14" s="220" t="s">
        <v>78</v>
      </c>
      <c r="C14" s="220"/>
      <c r="D14" s="220"/>
      <c r="E14" s="220"/>
      <c r="F14" s="220"/>
      <c r="G14" s="220"/>
      <c r="H14" s="220"/>
      <c r="I14" s="220"/>
      <c r="J14" s="220"/>
      <c r="K14" s="69"/>
      <c r="L14" s="69"/>
      <c r="M14" s="231">
        <f>条件!$E$17</f>
        <v>35971100</v>
      </c>
      <c r="N14" s="232"/>
      <c r="O14" s="232"/>
      <c r="P14" s="232"/>
      <c r="Q14" s="232"/>
      <c r="R14" s="232"/>
      <c r="S14" s="232"/>
      <c r="T14" s="232"/>
      <c r="U14" s="232"/>
      <c r="V14" s="234" t="s">
        <v>39</v>
      </c>
      <c r="W14" s="4"/>
      <c r="X14" s="4"/>
      <c r="Y14" s="4"/>
      <c r="Z14" s="4"/>
      <c r="AA14" s="4"/>
      <c r="AB14" s="68"/>
      <c r="AC14" s="4" t="s">
        <v>89</v>
      </c>
      <c r="AE14" s="64" t="str">
        <f>IF(条件!$H$16="","0566-74-3888",条件!$H$16)</f>
        <v>0566-74-3888</v>
      </c>
      <c r="AG14" s="64"/>
      <c r="AH14" s="64"/>
      <c r="AI14" s="64"/>
      <c r="AJ14" s="64"/>
      <c r="AK14" s="64"/>
      <c r="AL14" s="64"/>
      <c r="AM14" s="64"/>
      <c r="AN14" s="64"/>
      <c r="AO14" s="5"/>
    </row>
    <row r="15" spans="1:41" ht="18" customHeight="1" thickBot="1">
      <c r="A15" s="34"/>
      <c r="B15" s="221"/>
      <c r="C15" s="221"/>
      <c r="D15" s="221"/>
      <c r="E15" s="221"/>
      <c r="F15" s="221"/>
      <c r="G15" s="221"/>
      <c r="H15" s="221"/>
      <c r="I15" s="221"/>
      <c r="J15" s="221"/>
      <c r="K15" s="36"/>
      <c r="L15" s="36"/>
      <c r="M15" s="233"/>
      <c r="N15" s="233"/>
      <c r="O15" s="233"/>
      <c r="P15" s="233"/>
      <c r="Q15" s="233"/>
      <c r="R15" s="233"/>
      <c r="S15" s="233"/>
      <c r="T15" s="233"/>
      <c r="U15" s="233"/>
      <c r="V15" s="235"/>
      <c r="W15" s="6"/>
      <c r="X15" s="4"/>
      <c r="Y15" s="4"/>
      <c r="Z15" s="4"/>
      <c r="AA15" s="4"/>
      <c r="AB15" s="61"/>
      <c r="AC15" s="4" t="s">
        <v>90</v>
      </c>
      <c r="AE15" s="64" t="s">
        <v>81</v>
      </c>
      <c r="AG15" s="64"/>
      <c r="AH15" s="64"/>
      <c r="AI15" s="64"/>
      <c r="AJ15" s="64"/>
      <c r="AK15" s="64"/>
      <c r="AL15" s="64"/>
      <c r="AM15" s="64"/>
      <c r="AN15" s="64"/>
      <c r="AO15" s="5"/>
    </row>
    <row r="16" spans="1:41" ht="24" customHeight="1" thickTop="1">
      <c r="A16" s="35"/>
      <c r="B16" s="59"/>
      <c r="C16" s="60"/>
      <c r="D16" s="59"/>
      <c r="E16" s="59"/>
      <c r="F16" s="59"/>
      <c r="G16" s="59"/>
      <c r="H16" s="59"/>
      <c r="I16" s="59"/>
      <c r="J16" s="22"/>
      <c r="K16" s="22" t="s">
        <v>54</v>
      </c>
      <c r="L16" s="242" t="s">
        <v>79</v>
      </c>
      <c r="M16" s="243"/>
      <c r="N16" s="243"/>
      <c r="O16" s="243"/>
      <c r="P16" s="224">
        <f>条件!$E$17-条件!$E$18</f>
        <v>32701000</v>
      </c>
      <c r="Q16" s="224"/>
      <c r="R16" s="224"/>
      <c r="S16" s="224"/>
      <c r="T16" s="224"/>
      <c r="U16" s="224"/>
      <c r="V16" s="224"/>
      <c r="W16" s="4" t="s">
        <v>80</v>
      </c>
      <c r="X16" s="4"/>
      <c r="Y16" s="4"/>
      <c r="Z16" s="4"/>
      <c r="AA16" s="4"/>
      <c r="AB16" s="61"/>
      <c r="AC16" s="61"/>
      <c r="AD16" s="61"/>
      <c r="AE16" s="61"/>
      <c r="AF16" s="64"/>
      <c r="AG16" s="64"/>
      <c r="AH16" s="64"/>
      <c r="AI16" s="4"/>
      <c r="AJ16" s="4"/>
      <c r="AK16" s="4"/>
      <c r="AL16" s="4"/>
      <c r="AM16" s="4"/>
      <c r="AN16" s="4"/>
      <c r="AO16" s="5"/>
    </row>
    <row r="17" spans="1:41" ht="24" customHeight="1">
      <c r="A17" s="34"/>
      <c r="B17" s="4"/>
      <c r="C17" s="4"/>
      <c r="D17" s="4"/>
      <c r="E17" s="4"/>
      <c r="F17" s="4"/>
      <c r="G17" s="4"/>
      <c r="H17" s="4"/>
      <c r="I17" s="4"/>
      <c r="J17" s="4"/>
      <c r="K17" s="70" t="s">
        <v>54</v>
      </c>
      <c r="L17" s="222" t="s">
        <v>25</v>
      </c>
      <c r="M17" s="223"/>
      <c r="N17" s="223"/>
      <c r="O17" s="223"/>
      <c r="P17" s="225">
        <f>条件!$E$18</f>
        <v>3270100</v>
      </c>
      <c r="Q17" s="226"/>
      <c r="R17" s="226"/>
      <c r="S17" s="226"/>
      <c r="T17" s="226"/>
      <c r="U17" s="226"/>
      <c r="V17" s="226"/>
      <c r="W17" s="4" t="s">
        <v>80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5"/>
    </row>
    <row r="18" spans="1:41" ht="9.75" customHeight="1">
      <c r="A18" s="35"/>
      <c r="B18" s="4"/>
      <c r="C18" s="71"/>
      <c r="D18" s="6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7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5"/>
    </row>
    <row r="19" spans="1:41" ht="26.1" customHeight="1">
      <c r="A19" s="34"/>
      <c r="B19" s="227" t="s">
        <v>33</v>
      </c>
      <c r="C19" s="228"/>
      <c r="D19" s="228"/>
      <c r="E19" s="228"/>
      <c r="F19" s="4"/>
      <c r="G19" s="240" t="str">
        <f>条件!$E$10</f>
        <v>古居 徹朗 様・古居 百恵 様邸新築工事⑦</v>
      </c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5"/>
    </row>
    <row r="20" spans="1:41" ht="26.1" customHeight="1">
      <c r="A20" s="35"/>
      <c r="B20" s="227" t="s">
        <v>1</v>
      </c>
      <c r="C20" s="228"/>
      <c r="D20" s="228"/>
      <c r="E20" s="228"/>
      <c r="F20" s="4"/>
      <c r="G20" s="218" t="str">
        <f>条件!$E$11</f>
        <v>西尾市戸ケ崎</v>
      </c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9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5"/>
    </row>
    <row r="21" spans="1:41" ht="26.1" customHeight="1">
      <c r="A21" s="34"/>
      <c r="B21" s="227" t="s">
        <v>2</v>
      </c>
      <c r="C21" s="228"/>
      <c r="D21" s="228"/>
      <c r="E21" s="228"/>
      <c r="F21" s="4"/>
      <c r="G21" s="217" t="s">
        <v>82</v>
      </c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30"/>
      <c r="Z21" s="4"/>
      <c r="AA21" s="4"/>
      <c r="AB21" s="246" t="str">
        <f>IF(AE21=0,"","プラン名：")</f>
        <v>プラン名：</v>
      </c>
      <c r="AC21" s="246"/>
      <c r="AD21" s="246"/>
      <c r="AE21" s="247" t="str">
        <f>条件!H21</f>
        <v>⑦ 自由設計プラン</v>
      </c>
      <c r="AF21" s="247"/>
      <c r="AG21" s="247"/>
      <c r="AH21" s="247"/>
      <c r="AI21" s="247"/>
      <c r="AJ21" s="247"/>
      <c r="AK21" s="247"/>
      <c r="AL21" s="247"/>
      <c r="AM21" s="247"/>
      <c r="AN21" s="4"/>
      <c r="AO21" s="5"/>
    </row>
    <row r="22" spans="1:41" ht="26.1" customHeight="1">
      <c r="A22" s="34"/>
      <c r="B22" s="227" t="s">
        <v>0</v>
      </c>
      <c r="C22" s="228"/>
      <c r="D22" s="228"/>
      <c r="E22" s="228"/>
      <c r="F22" s="4"/>
      <c r="G22" s="217" t="s">
        <v>83</v>
      </c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30"/>
      <c r="Z22" s="4"/>
      <c r="AA22" s="4"/>
      <c r="AB22" s="248" t="s">
        <v>145</v>
      </c>
      <c r="AC22" s="248"/>
      <c r="AD22" s="248"/>
      <c r="AE22" s="249">
        <f>条件!H20</f>
        <v>45942</v>
      </c>
      <c r="AF22" s="249"/>
      <c r="AG22" s="249"/>
      <c r="AH22" s="249"/>
      <c r="AI22" s="249"/>
      <c r="AJ22" s="249"/>
      <c r="AK22" s="249"/>
      <c r="AL22" s="249"/>
      <c r="AM22" s="249"/>
      <c r="AN22" s="4"/>
      <c r="AO22" s="5"/>
    </row>
    <row r="23" spans="1:41" ht="26.1" customHeight="1">
      <c r="A23" s="34"/>
      <c r="B23" s="227" t="s">
        <v>34</v>
      </c>
      <c r="C23" s="228"/>
      <c r="D23" s="228"/>
      <c r="E23" s="228"/>
      <c r="F23" s="4"/>
      <c r="G23" s="217" t="s">
        <v>35</v>
      </c>
      <c r="H23" s="217"/>
      <c r="I23" s="217" t="str">
        <f>条件!H19</f>
        <v>木造軸組ALL金物構造</v>
      </c>
      <c r="J23" s="217"/>
      <c r="K23" s="217"/>
      <c r="L23" s="217"/>
      <c r="M23" s="217"/>
      <c r="N23" s="217"/>
      <c r="O23" s="217"/>
      <c r="P23" s="217"/>
      <c r="Q23" s="217"/>
      <c r="R23" s="217" t="s">
        <v>36</v>
      </c>
      <c r="S23" s="217"/>
      <c r="T23" s="218" t="str">
        <f>条件!$E$12</f>
        <v>新築</v>
      </c>
      <c r="U23" s="219"/>
      <c r="V23" s="219"/>
      <c r="W23" s="219"/>
      <c r="X23" s="219"/>
      <c r="Y23" s="219"/>
      <c r="Z23" s="4"/>
      <c r="AA23" s="4"/>
      <c r="AB23" s="207" t="s">
        <v>85</v>
      </c>
      <c r="AC23" s="208"/>
      <c r="AD23" s="209"/>
      <c r="AE23" s="207" t="s">
        <v>156</v>
      </c>
      <c r="AF23" s="208"/>
      <c r="AG23" s="209"/>
      <c r="AH23" s="207" t="s">
        <v>86</v>
      </c>
      <c r="AI23" s="208"/>
      <c r="AJ23" s="209"/>
      <c r="AK23" s="207" t="s">
        <v>87</v>
      </c>
      <c r="AL23" s="208"/>
      <c r="AM23" s="209"/>
      <c r="AN23" s="4"/>
      <c r="AO23" s="5"/>
    </row>
    <row r="24" spans="1:41" ht="26.1" customHeight="1">
      <c r="A24" s="34"/>
      <c r="B24" s="73"/>
      <c r="C24" s="74"/>
      <c r="D24" s="74"/>
      <c r="E24" s="74"/>
      <c r="F24" s="4"/>
      <c r="G24" s="217" t="s">
        <v>37</v>
      </c>
      <c r="H24" s="217"/>
      <c r="I24" s="217"/>
      <c r="J24" s="236">
        <f>条件!E14</f>
        <v>115.3</v>
      </c>
      <c r="K24" s="236"/>
      <c r="L24" s="236"/>
      <c r="M24" s="37" t="s">
        <v>50</v>
      </c>
      <c r="N24" s="37"/>
      <c r="O24" s="38" t="s">
        <v>51</v>
      </c>
      <c r="P24" s="229">
        <f>条件!$E$15</f>
        <v>34.869999999999997</v>
      </c>
      <c r="Q24" s="229"/>
      <c r="R24" s="230"/>
      <c r="S24" s="33" t="s">
        <v>52</v>
      </c>
      <c r="T24" s="33"/>
      <c r="U24" s="37"/>
      <c r="V24" s="37"/>
      <c r="W24" s="37"/>
      <c r="X24" s="37"/>
      <c r="Y24" s="37"/>
      <c r="Z24" s="4"/>
      <c r="AA24" s="4"/>
      <c r="AB24" s="210"/>
      <c r="AC24" s="211"/>
      <c r="AD24" s="212"/>
      <c r="AE24" s="210"/>
      <c r="AF24" s="211"/>
      <c r="AG24" s="212"/>
      <c r="AH24" s="210"/>
      <c r="AI24" s="211"/>
      <c r="AJ24" s="212"/>
      <c r="AK24" s="210"/>
      <c r="AL24" s="211"/>
      <c r="AM24" s="212"/>
      <c r="AN24" s="4"/>
      <c r="AO24" s="5"/>
    </row>
    <row r="25" spans="1:41" ht="26.1" customHeight="1">
      <c r="A25" s="34"/>
      <c r="B25" s="227" t="s">
        <v>38</v>
      </c>
      <c r="C25" s="227"/>
      <c r="D25" s="227"/>
      <c r="E25" s="227"/>
      <c r="F25" s="4"/>
      <c r="G25" s="216" t="s">
        <v>75</v>
      </c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4"/>
      <c r="AA25" s="4"/>
      <c r="AB25" s="213"/>
      <c r="AC25" s="214"/>
      <c r="AD25" s="215"/>
      <c r="AE25" s="213"/>
      <c r="AF25" s="214"/>
      <c r="AG25" s="215"/>
      <c r="AH25" s="213"/>
      <c r="AI25" s="214"/>
      <c r="AJ25" s="215"/>
      <c r="AK25" s="213"/>
      <c r="AL25" s="214"/>
      <c r="AM25" s="215"/>
      <c r="AN25" s="4"/>
      <c r="AO25" s="5"/>
    </row>
    <row r="26" spans="1:41" ht="26.1" customHeight="1">
      <c r="A26" s="34"/>
      <c r="B26" s="227" t="s">
        <v>19</v>
      </c>
      <c r="C26" s="228"/>
      <c r="D26" s="228"/>
      <c r="E26" s="228"/>
      <c r="F26" s="4"/>
      <c r="G26" s="205" t="s">
        <v>76</v>
      </c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4"/>
      <c r="AH26" s="4"/>
      <c r="AI26" s="4"/>
      <c r="AJ26" s="4"/>
      <c r="AK26" s="4"/>
      <c r="AL26" s="4"/>
      <c r="AM26" s="4"/>
      <c r="AN26" s="4"/>
      <c r="AO26" s="5"/>
    </row>
    <row r="27" spans="1:41" ht="26.1" customHeight="1">
      <c r="A27" s="34"/>
      <c r="B27" s="4"/>
      <c r="C27" s="4"/>
      <c r="D27" s="4"/>
      <c r="E27" s="4"/>
      <c r="F27" s="4"/>
      <c r="G27" s="205" t="s">
        <v>77</v>
      </c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4"/>
      <c r="AH27" s="4"/>
      <c r="AI27" s="4"/>
      <c r="AJ27" s="4"/>
      <c r="AK27" s="4"/>
      <c r="AL27" s="4"/>
      <c r="AM27" s="4"/>
      <c r="AN27" s="4"/>
      <c r="AO27" s="5"/>
    </row>
    <row r="28" spans="1:41" ht="12.6" customHeight="1" thickBot="1">
      <c r="A28" s="3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8"/>
    </row>
    <row r="29" spans="1:41" ht="18.75" customHeight="1"/>
  </sheetData>
  <mergeCells count="47">
    <mergeCell ref="E3:J4"/>
    <mergeCell ref="AB21:AD21"/>
    <mergeCell ref="AE21:AM21"/>
    <mergeCell ref="AB22:AD22"/>
    <mergeCell ref="AE22:AM22"/>
    <mergeCell ref="P3:Z4"/>
    <mergeCell ref="AB8:AL9"/>
    <mergeCell ref="AF6:AK6"/>
    <mergeCell ref="AF5:AN5"/>
    <mergeCell ref="B25:E25"/>
    <mergeCell ref="J24:L24"/>
    <mergeCell ref="B22:E22"/>
    <mergeCell ref="B21:E21"/>
    <mergeCell ref="B7:Q9"/>
    <mergeCell ref="G19:Y19"/>
    <mergeCell ref="G20:Y20"/>
    <mergeCell ref="B19:E19"/>
    <mergeCell ref="B20:E20"/>
    <mergeCell ref="L16:O16"/>
    <mergeCell ref="G22:Y22"/>
    <mergeCell ref="R8:S9"/>
    <mergeCell ref="G27:AF27"/>
    <mergeCell ref="B14:J15"/>
    <mergeCell ref="L17:O17"/>
    <mergeCell ref="P16:V16"/>
    <mergeCell ref="P17:V17"/>
    <mergeCell ref="AB24:AD25"/>
    <mergeCell ref="AE24:AG25"/>
    <mergeCell ref="B26:E26"/>
    <mergeCell ref="P24:R24"/>
    <mergeCell ref="G24:I24"/>
    <mergeCell ref="AB23:AD23"/>
    <mergeCell ref="AE23:AG23"/>
    <mergeCell ref="B23:E23"/>
    <mergeCell ref="M14:U15"/>
    <mergeCell ref="V14:V15"/>
    <mergeCell ref="G21:Y21"/>
    <mergeCell ref="G26:AF26"/>
    <mergeCell ref="AK23:AM23"/>
    <mergeCell ref="AH23:AJ23"/>
    <mergeCell ref="AH24:AJ25"/>
    <mergeCell ref="AK24:AM25"/>
    <mergeCell ref="G25:Y25"/>
    <mergeCell ref="G23:H23"/>
    <mergeCell ref="R23:S23"/>
    <mergeCell ref="I23:Q23"/>
    <mergeCell ref="T23:Y23"/>
  </mergeCells>
  <phoneticPr fontId="4"/>
  <conditionalFormatting sqref="E3:J4">
    <cfRule type="cellIs" dxfId="4" priority="1" operator="notEqual">
      <formula>0</formula>
    </cfRule>
    <cfRule type="cellIs" dxfId="3" priority="2" operator="equal">
      <formula>0</formula>
    </cfRule>
  </conditionalFormatting>
  <conditionalFormatting sqref="AE21:AM21">
    <cfRule type="cellIs" dxfId="2" priority="5" operator="equal">
      <formula>0</formula>
    </cfRule>
  </conditionalFormatting>
  <printOptions horizontalCentered="1" verticalCentered="1"/>
  <pageMargins left="0.78740157480314965" right="0.78740157480314965" top="0.55118110236220474" bottom="0.55118110236220474" header="0.35433070866141736" footer="0.23622047244094491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00B0F0"/>
  </sheetPr>
  <dimension ref="A1:H722"/>
  <sheetViews>
    <sheetView tabSelected="1" view="pageBreakPreview" zoomScale="60" zoomScaleNormal="100" workbookViewId="0">
      <pane ySplit="1" topLeftCell="A121" activePane="bottomLeft" state="frozen"/>
      <selection activeCell="A2" sqref="A2"/>
      <selection pane="bottomLeft" activeCell="A2" sqref="A2"/>
    </sheetView>
  </sheetViews>
  <sheetFormatPr defaultRowHeight="20.100000000000001" customHeight="1" outlineLevelRow="1"/>
  <cols>
    <col min="1" max="1" width="8.625" style="181" customWidth="1"/>
    <col min="2" max="2" width="29.625" style="21" customWidth="1"/>
    <col min="3" max="3" width="28.625" style="21" customWidth="1"/>
    <col min="4" max="4" width="9.125" bestFit="1" customWidth="1"/>
    <col min="5" max="5" width="6.625" customWidth="1"/>
    <col min="6" max="6" width="10.25" bestFit="1" customWidth="1"/>
    <col min="7" max="7" width="16" customWidth="1"/>
  </cols>
  <sheetData>
    <row r="1" spans="1:8" ht="20.100000000000001" customHeight="1" thickBot="1">
      <c r="A1" s="179" t="s">
        <v>53</v>
      </c>
      <c r="B1" s="133" t="s">
        <v>3</v>
      </c>
      <c r="C1" s="133" t="s">
        <v>4</v>
      </c>
      <c r="D1" s="134" t="s">
        <v>5</v>
      </c>
      <c r="E1" s="134" t="s">
        <v>6</v>
      </c>
      <c r="F1" s="134" t="s">
        <v>7</v>
      </c>
      <c r="G1" s="135" t="s">
        <v>8</v>
      </c>
      <c r="H1" s="4"/>
    </row>
    <row r="2" spans="1:8" ht="20.100000000000001" customHeight="1">
      <c r="A2" s="202" t="s">
        <v>171</v>
      </c>
      <c r="B2" s="136" t="s">
        <v>162</v>
      </c>
      <c r="C2" s="136" t="s">
        <v>157</v>
      </c>
      <c r="D2" s="137">
        <v>1</v>
      </c>
      <c r="E2" s="138" t="s">
        <v>163</v>
      </c>
      <c r="F2" s="139">
        <f>G61</f>
        <v>914151</v>
      </c>
      <c r="G2" s="140">
        <f t="shared" ref="G2:G22" si="0">ROUNDDOWN(D2*F2,0)</f>
        <v>914151</v>
      </c>
    </row>
    <row r="3" spans="1:8" ht="20.100000000000001" customHeight="1">
      <c r="A3" s="202" t="s">
        <v>681</v>
      </c>
      <c r="B3" s="123" t="s">
        <v>186</v>
      </c>
      <c r="C3" s="123" t="s">
        <v>157</v>
      </c>
      <c r="D3" s="124">
        <v>1</v>
      </c>
      <c r="E3" s="125" t="s">
        <v>163</v>
      </c>
      <c r="F3" s="126">
        <f>G101</f>
        <v>2275605</v>
      </c>
      <c r="G3" s="127">
        <f t="shared" si="0"/>
        <v>2275605</v>
      </c>
    </row>
    <row r="4" spans="1:8" ht="20.100000000000001" customHeight="1">
      <c r="A4" s="202" t="s">
        <v>749</v>
      </c>
      <c r="B4" s="123" t="s">
        <v>209</v>
      </c>
      <c r="C4" s="123" t="s">
        <v>157</v>
      </c>
      <c r="D4" s="124">
        <v>1</v>
      </c>
      <c r="E4" s="125" t="s">
        <v>163</v>
      </c>
      <c r="F4" s="126">
        <f>G121</f>
        <v>12317611</v>
      </c>
      <c r="G4" s="127">
        <f t="shared" si="0"/>
        <v>12317611</v>
      </c>
    </row>
    <row r="5" spans="1:8" ht="20.100000000000001" customHeight="1">
      <c r="A5" s="202" t="s">
        <v>297</v>
      </c>
      <c r="B5" s="123" t="s">
        <v>414</v>
      </c>
      <c r="C5" s="123" t="s">
        <v>157</v>
      </c>
      <c r="D5" s="124">
        <v>1</v>
      </c>
      <c r="E5" s="125" t="s">
        <v>163</v>
      </c>
      <c r="F5" s="126">
        <f>G261</f>
        <v>1256721</v>
      </c>
      <c r="G5" s="127">
        <f t="shared" si="0"/>
        <v>1256721</v>
      </c>
    </row>
    <row r="6" spans="1:8" ht="20.100000000000001" customHeight="1">
      <c r="A6" s="202" t="s">
        <v>750</v>
      </c>
      <c r="B6" s="123" t="s">
        <v>460</v>
      </c>
      <c r="C6" s="123" t="s">
        <v>157</v>
      </c>
      <c r="D6" s="124">
        <v>1</v>
      </c>
      <c r="E6" s="125" t="s">
        <v>163</v>
      </c>
      <c r="F6" s="126">
        <f>G321</f>
        <v>739277</v>
      </c>
      <c r="G6" s="127">
        <f t="shared" si="0"/>
        <v>739277</v>
      </c>
    </row>
    <row r="7" spans="1:8" ht="20.100000000000001" customHeight="1">
      <c r="A7" s="202" t="s">
        <v>751</v>
      </c>
      <c r="B7" s="123" t="s">
        <v>466</v>
      </c>
      <c r="C7" s="123" t="s">
        <v>157</v>
      </c>
      <c r="D7" s="124">
        <v>1</v>
      </c>
      <c r="E7" s="125" t="s">
        <v>163</v>
      </c>
      <c r="F7" s="126">
        <f>G341</f>
        <v>202780</v>
      </c>
      <c r="G7" s="127">
        <f t="shared" si="0"/>
        <v>202780</v>
      </c>
    </row>
    <row r="8" spans="1:8" ht="20.100000000000001" customHeight="1">
      <c r="A8" s="202" t="s">
        <v>752</v>
      </c>
      <c r="B8" s="123" t="s">
        <v>478</v>
      </c>
      <c r="C8" s="123" t="s">
        <v>157</v>
      </c>
      <c r="D8" s="124">
        <v>1</v>
      </c>
      <c r="E8" s="125" t="s">
        <v>163</v>
      </c>
      <c r="F8" s="126">
        <f>G361</f>
        <v>981800</v>
      </c>
      <c r="G8" s="127">
        <f t="shared" si="0"/>
        <v>981800</v>
      </c>
    </row>
    <row r="9" spans="1:8" ht="20.100000000000001" customHeight="1">
      <c r="A9" s="202" t="s">
        <v>753</v>
      </c>
      <c r="B9" s="123" t="s">
        <v>495</v>
      </c>
      <c r="C9" s="123" t="s">
        <v>157</v>
      </c>
      <c r="D9" s="124">
        <v>1</v>
      </c>
      <c r="E9" s="125" t="s">
        <v>163</v>
      </c>
      <c r="F9" s="126">
        <f>G381</f>
        <v>1133700</v>
      </c>
      <c r="G9" s="127">
        <f t="shared" si="0"/>
        <v>1133700</v>
      </c>
    </row>
    <row r="10" spans="1:8" ht="20.100000000000001" customHeight="1">
      <c r="A10" s="202" t="s">
        <v>754</v>
      </c>
      <c r="B10" s="123" t="s">
        <v>517</v>
      </c>
      <c r="C10" s="123" t="s">
        <v>157</v>
      </c>
      <c r="D10" s="124">
        <v>1</v>
      </c>
      <c r="E10" s="125" t="s">
        <v>163</v>
      </c>
      <c r="F10" s="126">
        <f>G401</f>
        <v>2087931</v>
      </c>
      <c r="G10" s="127">
        <f t="shared" si="0"/>
        <v>2087931</v>
      </c>
    </row>
    <row r="11" spans="1:8" ht="20.100000000000001" customHeight="1">
      <c r="A11" s="202" t="s">
        <v>755</v>
      </c>
      <c r="B11" s="123" t="s">
        <v>541</v>
      </c>
      <c r="C11" s="123" t="s">
        <v>157</v>
      </c>
      <c r="D11" s="124">
        <v>1</v>
      </c>
      <c r="E11" s="125" t="s">
        <v>163</v>
      </c>
      <c r="F11" s="126">
        <f>G421</f>
        <v>254156</v>
      </c>
      <c r="G11" s="127">
        <f t="shared" si="0"/>
        <v>254156</v>
      </c>
    </row>
    <row r="12" spans="1:8" ht="20.100000000000001" customHeight="1">
      <c r="A12" s="202" t="s">
        <v>756</v>
      </c>
      <c r="B12" s="123" t="s">
        <v>559</v>
      </c>
      <c r="C12" s="123" t="s">
        <v>157</v>
      </c>
      <c r="D12" s="124">
        <v>1</v>
      </c>
      <c r="E12" s="125" t="s">
        <v>163</v>
      </c>
      <c r="F12" s="126">
        <f>G461</f>
        <v>254760</v>
      </c>
      <c r="G12" s="127">
        <f t="shared" si="0"/>
        <v>254760</v>
      </c>
    </row>
    <row r="13" spans="1:8" ht="20.100000000000001" customHeight="1">
      <c r="A13" s="202" t="s">
        <v>757</v>
      </c>
      <c r="B13" s="123" t="s">
        <v>565</v>
      </c>
      <c r="C13" s="123" t="s">
        <v>157</v>
      </c>
      <c r="D13" s="124">
        <v>1</v>
      </c>
      <c r="E13" s="125" t="s">
        <v>163</v>
      </c>
      <c r="F13" s="126">
        <f>G481</f>
        <v>42900</v>
      </c>
      <c r="G13" s="127">
        <f t="shared" si="0"/>
        <v>42900</v>
      </c>
    </row>
    <row r="14" spans="1:8" ht="20.100000000000001" customHeight="1">
      <c r="A14" s="202" t="s">
        <v>758</v>
      </c>
      <c r="B14" s="123" t="s">
        <v>568</v>
      </c>
      <c r="C14" s="123" t="s">
        <v>157</v>
      </c>
      <c r="D14" s="124">
        <v>1</v>
      </c>
      <c r="E14" s="125" t="s">
        <v>163</v>
      </c>
      <c r="F14" s="126">
        <f>G501</f>
        <v>896446</v>
      </c>
      <c r="G14" s="127">
        <f t="shared" si="0"/>
        <v>896446</v>
      </c>
    </row>
    <row r="15" spans="1:8" ht="20.100000000000001" customHeight="1">
      <c r="A15" s="202" t="s">
        <v>759</v>
      </c>
      <c r="B15" s="123" t="s">
        <v>575</v>
      </c>
      <c r="C15" s="123" t="s">
        <v>157</v>
      </c>
      <c r="D15" s="124">
        <v>1</v>
      </c>
      <c r="E15" s="125" t="s">
        <v>163</v>
      </c>
      <c r="F15" s="126">
        <f>G521</f>
        <v>2340500</v>
      </c>
      <c r="G15" s="127">
        <f t="shared" si="0"/>
        <v>2340500</v>
      </c>
    </row>
    <row r="16" spans="1:8" ht="20.100000000000001" customHeight="1">
      <c r="A16" s="202" t="s">
        <v>760</v>
      </c>
      <c r="B16" s="123" t="s">
        <v>602</v>
      </c>
      <c r="C16" s="123" t="s">
        <v>157</v>
      </c>
      <c r="D16" s="124">
        <v>1</v>
      </c>
      <c r="E16" s="125" t="s">
        <v>163</v>
      </c>
      <c r="F16" s="126">
        <f>G541</f>
        <v>242900</v>
      </c>
      <c r="G16" s="127">
        <f t="shared" si="0"/>
        <v>242900</v>
      </c>
    </row>
    <row r="17" spans="1:7" ht="20.100000000000001" customHeight="1">
      <c r="A17" s="202" t="s">
        <v>761</v>
      </c>
      <c r="B17" s="123" t="s">
        <v>605</v>
      </c>
      <c r="C17" s="123" t="s">
        <v>157</v>
      </c>
      <c r="D17" s="124">
        <v>1</v>
      </c>
      <c r="E17" s="125" t="s">
        <v>163</v>
      </c>
      <c r="F17" s="126">
        <f>G581</f>
        <v>1243650</v>
      </c>
      <c r="G17" s="127">
        <f t="shared" si="0"/>
        <v>1243650</v>
      </c>
    </row>
    <row r="18" spans="1:7" ht="20.100000000000001" customHeight="1">
      <c r="A18" s="202" t="s">
        <v>762</v>
      </c>
      <c r="B18" s="123" t="s">
        <v>668</v>
      </c>
      <c r="C18" s="123" t="s">
        <v>157</v>
      </c>
      <c r="D18" s="124">
        <v>1</v>
      </c>
      <c r="E18" s="125" t="s">
        <v>163</v>
      </c>
      <c r="F18" s="126">
        <f>G601</f>
        <v>472052</v>
      </c>
      <c r="G18" s="127">
        <f t="shared" si="0"/>
        <v>472052</v>
      </c>
    </row>
    <row r="19" spans="1:7" ht="20.100000000000001" customHeight="1">
      <c r="A19" s="202" t="s">
        <v>763</v>
      </c>
      <c r="B19" s="123" t="s">
        <v>682</v>
      </c>
      <c r="C19" s="123" t="s">
        <v>157</v>
      </c>
      <c r="D19" s="124">
        <v>1</v>
      </c>
      <c r="E19" s="125" t="s">
        <v>163</v>
      </c>
      <c r="F19" s="126">
        <f>G621</f>
        <v>351500</v>
      </c>
      <c r="G19" s="127">
        <f t="shared" si="0"/>
        <v>351500</v>
      </c>
    </row>
    <row r="20" spans="1:7" ht="20.100000000000001" customHeight="1">
      <c r="A20" s="202" t="s">
        <v>764</v>
      </c>
      <c r="B20" s="141" t="s">
        <v>691</v>
      </c>
      <c r="C20" s="141" t="s">
        <v>157</v>
      </c>
      <c r="D20" s="142">
        <v>1</v>
      </c>
      <c r="E20" s="143" t="s">
        <v>163</v>
      </c>
      <c r="F20" s="144">
        <f>G641</f>
        <v>981700</v>
      </c>
      <c r="G20" s="145">
        <f t="shared" si="0"/>
        <v>981700</v>
      </c>
    </row>
    <row r="21" spans="1:7" ht="20.100000000000001" customHeight="1" thickBot="1">
      <c r="A21" s="203" t="s">
        <v>765</v>
      </c>
      <c r="B21" s="128" t="s">
        <v>701</v>
      </c>
      <c r="C21" s="128" t="s">
        <v>157</v>
      </c>
      <c r="D21" s="129">
        <v>1</v>
      </c>
      <c r="E21" s="130" t="s">
        <v>163</v>
      </c>
      <c r="F21" s="131">
        <f>G661</f>
        <v>57200</v>
      </c>
      <c r="G21" s="132">
        <f t="shared" si="0"/>
        <v>57200</v>
      </c>
    </row>
    <row r="22" spans="1:7" ht="20.100000000000001" customHeight="1">
      <c r="A22" s="202" t="s">
        <v>766</v>
      </c>
      <c r="B22" s="136" t="s">
        <v>704</v>
      </c>
      <c r="C22" s="136" t="s">
        <v>157</v>
      </c>
      <c r="D22" s="137">
        <v>1</v>
      </c>
      <c r="E22" s="138" t="s">
        <v>163</v>
      </c>
      <c r="F22" s="139">
        <f>G681</f>
        <v>160385</v>
      </c>
      <c r="G22" s="140">
        <f t="shared" si="0"/>
        <v>160385</v>
      </c>
    </row>
    <row r="23" spans="1:7" ht="20.100000000000001" customHeight="1">
      <c r="A23" s="202" t="s">
        <v>767</v>
      </c>
      <c r="B23" s="190" t="s">
        <v>742</v>
      </c>
      <c r="C23" s="146" t="s">
        <v>157</v>
      </c>
      <c r="D23" s="147">
        <v>1</v>
      </c>
      <c r="E23" s="148" t="s">
        <v>157</v>
      </c>
      <c r="F23" s="147">
        <v>0</v>
      </c>
      <c r="G23" s="149">
        <f>ROUNDDOWN(SUM(G1:G22)*0.03,0)</f>
        <v>876231</v>
      </c>
    </row>
    <row r="24" spans="1:7" ht="20.100000000000001" customHeight="1">
      <c r="A24" s="202" t="s">
        <v>768</v>
      </c>
      <c r="B24" s="123" t="s">
        <v>717</v>
      </c>
      <c r="C24" s="123" t="s">
        <v>157</v>
      </c>
      <c r="D24" s="124">
        <v>1</v>
      </c>
      <c r="E24" s="125" t="s">
        <v>163</v>
      </c>
      <c r="F24" s="126">
        <f>G701</f>
        <v>1347250</v>
      </c>
      <c r="G24" s="127">
        <f>ROUNDDOWN(D24*F24,0)</f>
        <v>1347250</v>
      </c>
    </row>
    <row r="25" spans="1:7" ht="20.100000000000001" customHeight="1">
      <c r="A25" s="202" t="s">
        <v>769</v>
      </c>
      <c r="B25" s="123" t="s">
        <v>722</v>
      </c>
      <c r="C25" s="123" t="s">
        <v>157</v>
      </c>
      <c r="D25" s="124">
        <v>1</v>
      </c>
      <c r="E25" s="125" t="s">
        <v>163</v>
      </c>
      <c r="F25" s="126">
        <f>G721</f>
        <v>1270000</v>
      </c>
      <c r="G25" s="127">
        <f>ROUNDDOWN(D25*F25,0)</f>
        <v>1270000</v>
      </c>
    </row>
    <row r="26" spans="1:7" ht="20.100000000000001" customHeight="1">
      <c r="A26" s="202" t="s">
        <v>770</v>
      </c>
      <c r="B26" s="189" t="s">
        <v>741</v>
      </c>
      <c r="C26" s="150"/>
      <c r="D26" s="151"/>
      <c r="E26" s="151"/>
      <c r="F26" s="151"/>
      <c r="G26" s="152">
        <v>-206</v>
      </c>
    </row>
    <row r="27" spans="1:7" ht="20.100000000000001" customHeight="1">
      <c r="A27" s="201"/>
      <c r="B27" s="153" t="s">
        <v>159</v>
      </c>
      <c r="C27" s="154"/>
      <c r="D27" s="155"/>
      <c r="E27" s="155"/>
      <c r="F27" s="155"/>
      <c r="G27" s="156">
        <f>ROUNDDOWN(SUM(G2:G26)*10/100,0)</f>
        <v>3270100</v>
      </c>
    </row>
    <row r="28" spans="1:7" ht="20.100000000000001" customHeight="1">
      <c r="A28" s="200"/>
      <c r="B28" s="150"/>
      <c r="C28" s="150"/>
      <c r="D28" s="151"/>
      <c r="E28" s="151"/>
      <c r="F28" s="151"/>
      <c r="G28" s="152"/>
    </row>
    <row r="29" spans="1:7" ht="20.100000000000001" customHeight="1">
      <c r="A29" s="200"/>
      <c r="B29" s="150"/>
      <c r="C29" s="150"/>
      <c r="D29" s="151"/>
      <c r="E29" s="151"/>
      <c r="F29" s="151"/>
      <c r="G29" s="152"/>
    </row>
    <row r="30" spans="1:7" ht="20.100000000000001" customHeight="1">
      <c r="A30" s="200"/>
      <c r="B30" s="150"/>
      <c r="C30" s="150"/>
      <c r="D30" s="151"/>
      <c r="E30" s="151"/>
      <c r="F30" s="151"/>
      <c r="G30" s="152"/>
    </row>
    <row r="31" spans="1:7" ht="20.100000000000001" customHeight="1">
      <c r="A31" s="200"/>
      <c r="B31" s="150"/>
      <c r="C31" s="150"/>
      <c r="D31" s="151"/>
      <c r="E31" s="151"/>
      <c r="F31" s="151"/>
      <c r="G31" s="152"/>
    </row>
    <row r="32" spans="1:7" ht="20.100000000000001" customHeight="1">
      <c r="A32" s="200"/>
      <c r="B32" s="150"/>
      <c r="C32" s="150"/>
      <c r="D32" s="151"/>
      <c r="E32" s="151"/>
      <c r="F32" s="151"/>
      <c r="G32" s="152"/>
    </row>
    <row r="33" spans="1:7" ht="20.100000000000001" customHeight="1">
      <c r="A33" s="200"/>
      <c r="B33" s="150"/>
      <c r="C33" s="150"/>
      <c r="D33" s="151"/>
      <c r="E33" s="151"/>
      <c r="F33" s="151"/>
      <c r="G33" s="152"/>
    </row>
    <row r="34" spans="1:7" ht="20.100000000000001" customHeight="1">
      <c r="A34" s="200"/>
      <c r="B34" s="150"/>
      <c r="C34" s="150"/>
      <c r="D34" s="151"/>
      <c r="E34" s="151"/>
      <c r="F34" s="151"/>
      <c r="G34" s="152"/>
    </row>
    <row r="35" spans="1:7" ht="20.100000000000001" customHeight="1">
      <c r="A35" s="200"/>
      <c r="B35" s="150"/>
      <c r="C35" s="150"/>
      <c r="D35" s="151"/>
      <c r="E35" s="151"/>
      <c r="F35" s="151"/>
      <c r="G35" s="152"/>
    </row>
    <row r="36" spans="1:7" ht="20.100000000000001" customHeight="1">
      <c r="A36" s="200"/>
      <c r="B36" s="150"/>
      <c r="C36" s="150"/>
      <c r="D36" s="151"/>
      <c r="E36" s="151"/>
      <c r="F36" s="151"/>
      <c r="G36" s="152"/>
    </row>
    <row r="37" spans="1:7" ht="20.100000000000001" customHeight="1">
      <c r="A37" s="200"/>
      <c r="B37" s="150"/>
      <c r="C37" s="150"/>
      <c r="D37" s="151"/>
      <c r="E37" s="151"/>
      <c r="F37" s="151"/>
      <c r="G37" s="152"/>
    </row>
    <row r="38" spans="1:7" ht="20.100000000000001" customHeight="1">
      <c r="A38" s="200"/>
      <c r="B38" s="150"/>
      <c r="C38" s="150"/>
      <c r="D38" s="151"/>
      <c r="E38" s="151"/>
      <c r="F38" s="151"/>
      <c r="G38" s="152"/>
    </row>
    <row r="39" spans="1:7" ht="20.100000000000001" customHeight="1">
      <c r="A39" s="200"/>
      <c r="B39" s="150"/>
      <c r="C39" s="150"/>
      <c r="D39" s="151"/>
      <c r="E39" s="151"/>
      <c r="F39" s="151"/>
      <c r="G39" s="152"/>
    </row>
    <row r="40" spans="1:7" ht="20.100000000000001" customHeight="1">
      <c r="A40" s="199"/>
      <c r="B40" s="163"/>
      <c r="C40" s="163"/>
      <c r="D40" s="164"/>
      <c r="E40" s="164"/>
      <c r="F40" s="164"/>
      <c r="G40" s="165"/>
    </row>
    <row r="41" spans="1:7" ht="20.100000000000001" customHeight="1" thickBot="1">
      <c r="A41" s="198"/>
      <c r="B41" s="157" t="s">
        <v>729</v>
      </c>
      <c r="C41" s="158"/>
      <c r="D41" s="159"/>
      <c r="E41" s="159"/>
      <c r="F41" s="159"/>
      <c r="G41" s="160">
        <f>SUM(G2:G40)</f>
        <v>35971100</v>
      </c>
    </row>
    <row r="42" spans="1:7" ht="20.100000000000001" customHeight="1">
      <c r="A42" s="202" t="s">
        <v>171</v>
      </c>
      <c r="B42" s="166" t="s">
        <v>162</v>
      </c>
      <c r="C42" s="167"/>
      <c r="D42" s="168"/>
      <c r="E42" s="168"/>
      <c r="F42" s="168"/>
      <c r="G42" s="169"/>
    </row>
    <row r="43" spans="1:7" ht="20.100000000000001" customHeight="1">
      <c r="A43" s="200"/>
      <c r="B43" s="150"/>
      <c r="C43" s="150"/>
      <c r="D43" s="151"/>
      <c r="E43" s="151"/>
      <c r="F43" s="151"/>
      <c r="G43" s="152"/>
    </row>
    <row r="44" spans="1:7" ht="20.100000000000001" customHeight="1">
      <c r="A44" s="200" t="s">
        <v>771</v>
      </c>
      <c r="B44" s="123" t="s">
        <v>164</v>
      </c>
      <c r="C44" s="123" t="s">
        <v>157</v>
      </c>
      <c r="D44" s="124">
        <v>1</v>
      </c>
      <c r="E44" s="125" t="s">
        <v>163</v>
      </c>
      <c r="F44" s="126">
        <f>G81</f>
        <v>387300</v>
      </c>
      <c r="G44" s="127">
        <f>ROUNDDOWN(D44*F44,0)</f>
        <v>387300</v>
      </c>
    </row>
    <row r="45" spans="1:7" ht="20.100000000000001" customHeight="1">
      <c r="A45" s="200" t="s">
        <v>772</v>
      </c>
      <c r="B45" s="123" t="s">
        <v>174</v>
      </c>
      <c r="C45" s="123" t="s">
        <v>175</v>
      </c>
      <c r="D45" s="124">
        <v>256.10000000000002</v>
      </c>
      <c r="E45" s="125" t="s">
        <v>176</v>
      </c>
      <c r="F45" s="162">
        <v>900</v>
      </c>
      <c r="G45" s="127">
        <f>ROUNDDOWN(D45*F45,0)</f>
        <v>230490</v>
      </c>
    </row>
    <row r="46" spans="1:7" ht="20.100000000000001" customHeight="1">
      <c r="A46" s="200" t="s">
        <v>773</v>
      </c>
      <c r="B46" s="123" t="s">
        <v>180</v>
      </c>
      <c r="C46" s="123" t="s">
        <v>157</v>
      </c>
      <c r="D46" s="124">
        <v>1</v>
      </c>
      <c r="E46" s="125" t="s">
        <v>163</v>
      </c>
      <c r="F46" s="126">
        <v>35800</v>
      </c>
      <c r="G46" s="127">
        <f>ROUNDDOWN(D46*F46,0)</f>
        <v>35800</v>
      </c>
    </row>
    <row r="47" spans="1:7" ht="20.100000000000001" customHeight="1">
      <c r="A47" s="200" t="s">
        <v>774</v>
      </c>
      <c r="B47" s="123" t="s">
        <v>181</v>
      </c>
      <c r="C47" s="123" t="s">
        <v>157</v>
      </c>
      <c r="D47" s="124">
        <v>117.37</v>
      </c>
      <c r="E47" s="125" t="s">
        <v>176</v>
      </c>
      <c r="F47" s="162">
        <v>1500</v>
      </c>
      <c r="G47" s="127">
        <f>ROUNDDOWN(D47*F47,0)</f>
        <v>176055</v>
      </c>
    </row>
    <row r="48" spans="1:7" ht="20.100000000000001" customHeight="1">
      <c r="A48" s="200" t="s">
        <v>775</v>
      </c>
      <c r="B48" s="123" t="s">
        <v>185</v>
      </c>
      <c r="C48" s="123" t="s">
        <v>157</v>
      </c>
      <c r="D48" s="124">
        <v>117.37</v>
      </c>
      <c r="E48" s="125" t="s">
        <v>176</v>
      </c>
      <c r="F48" s="162">
        <v>720</v>
      </c>
      <c r="G48" s="127">
        <f>ROUNDDOWN(D48*F48,0)</f>
        <v>84506</v>
      </c>
    </row>
    <row r="49" spans="1:7" ht="20.100000000000001" customHeight="1">
      <c r="A49" s="200"/>
      <c r="B49" s="150"/>
      <c r="C49" s="150"/>
      <c r="D49" s="151"/>
      <c r="E49" s="151"/>
      <c r="F49" s="151"/>
      <c r="G49" s="152"/>
    </row>
    <row r="50" spans="1:7" ht="20.100000000000001" customHeight="1">
      <c r="A50" s="200"/>
      <c r="B50" s="150"/>
      <c r="C50" s="150"/>
      <c r="D50" s="151"/>
      <c r="E50" s="151"/>
      <c r="F50" s="151"/>
      <c r="G50" s="152"/>
    </row>
    <row r="51" spans="1:7" ht="20.100000000000001" customHeight="1">
      <c r="A51" s="200"/>
      <c r="B51" s="150"/>
      <c r="C51" s="150"/>
      <c r="D51" s="151"/>
      <c r="E51" s="151"/>
      <c r="F51" s="151"/>
      <c r="G51" s="152"/>
    </row>
    <row r="52" spans="1:7" ht="20.100000000000001" customHeight="1">
      <c r="A52" s="200"/>
      <c r="B52" s="150"/>
      <c r="C52" s="150"/>
      <c r="D52" s="151"/>
      <c r="E52" s="151"/>
      <c r="F52" s="151"/>
      <c r="G52" s="152"/>
    </row>
    <row r="53" spans="1:7" ht="20.100000000000001" customHeight="1">
      <c r="A53" s="200"/>
      <c r="B53" s="150"/>
      <c r="C53" s="150"/>
      <c r="D53" s="151"/>
      <c r="E53" s="151"/>
      <c r="F53" s="151"/>
      <c r="G53" s="152"/>
    </row>
    <row r="54" spans="1:7" ht="20.100000000000001" customHeight="1">
      <c r="A54" s="200"/>
      <c r="B54" s="150"/>
      <c r="C54" s="150"/>
      <c r="D54" s="151"/>
      <c r="E54" s="151"/>
      <c r="F54" s="151"/>
      <c r="G54" s="152"/>
    </row>
    <row r="55" spans="1:7" ht="20.100000000000001" customHeight="1">
      <c r="A55" s="200"/>
      <c r="B55" s="150"/>
      <c r="C55" s="150"/>
      <c r="D55" s="151"/>
      <c r="E55" s="151"/>
      <c r="F55" s="151"/>
      <c r="G55" s="152"/>
    </row>
    <row r="56" spans="1:7" ht="20.100000000000001" customHeight="1">
      <c r="A56" s="200"/>
      <c r="B56" s="150"/>
      <c r="C56" s="150"/>
      <c r="D56" s="151"/>
      <c r="E56" s="151"/>
      <c r="F56" s="151"/>
      <c r="G56" s="152"/>
    </row>
    <row r="57" spans="1:7" ht="20.100000000000001" customHeight="1">
      <c r="A57" s="200"/>
      <c r="B57" s="150"/>
      <c r="C57" s="150"/>
      <c r="D57" s="151"/>
      <c r="E57" s="151"/>
      <c r="F57" s="151"/>
      <c r="G57" s="152"/>
    </row>
    <row r="58" spans="1:7" ht="20.100000000000001" customHeight="1">
      <c r="A58" s="200"/>
      <c r="B58" s="150"/>
      <c r="C58" s="150"/>
      <c r="D58" s="151"/>
      <c r="E58" s="151"/>
      <c r="F58" s="151"/>
      <c r="G58" s="152"/>
    </row>
    <row r="59" spans="1:7" ht="20.100000000000001" customHeight="1">
      <c r="A59" s="200"/>
      <c r="B59" s="150"/>
      <c r="C59" s="150"/>
      <c r="D59" s="151"/>
      <c r="E59" s="151"/>
      <c r="F59" s="151"/>
      <c r="G59" s="152"/>
    </row>
    <row r="60" spans="1:7" ht="20.100000000000001" customHeight="1">
      <c r="A60" s="199"/>
      <c r="B60" s="163"/>
      <c r="C60" s="163"/>
      <c r="D60" s="164"/>
      <c r="E60" s="164"/>
      <c r="F60" s="164"/>
      <c r="G60" s="165"/>
    </row>
    <row r="61" spans="1:7" ht="20.100000000000001" customHeight="1" thickBot="1">
      <c r="A61" s="198"/>
      <c r="B61" s="157" t="s">
        <v>728</v>
      </c>
      <c r="C61" s="158"/>
      <c r="D61" s="159"/>
      <c r="E61" s="159"/>
      <c r="F61" s="159"/>
      <c r="G61" s="160">
        <f>SUM(G43:G60)</f>
        <v>914151</v>
      </c>
    </row>
    <row r="62" spans="1:7" ht="20.100000000000001" hidden="1" customHeight="1" outlineLevel="1">
      <c r="A62" s="202" t="s">
        <v>771</v>
      </c>
      <c r="B62" s="166" t="s">
        <v>164</v>
      </c>
      <c r="C62" s="167"/>
      <c r="D62" s="168"/>
      <c r="E62" s="168"/>
      <c r="F62" s="168"/>
      <c r="G62" s="169"/>
    </row>
    <row r="63" spans="1:7" ht="20.100000000000001" hidden="1" customHeight="1" outlineLevel="1">
      <c r="A63" s="200"/>
      <c r="B63" s="150"/>
      <c r="C63" s="150"/>
      <c r="D63" s="151"/>
      <c r="E63" s="151"/>
      <c r="F63" s="151"/>
      <c r="G63" s="152"/>
    </row>
    <row r="64" spans="1:7" ht="20.100000000000001" hidden="1" customHeight="1" outlineLevel="1">
      <c r="A64" s="200" t="s">
        <v>776</v>
      </c>
      <c r="B64" s="123" t="s">
        <v>165</v>
      </c>
      <c r="C64" s="123" t="s">
        <v>166</v>
      </c>
      <c r="D64" s="124">
        <v>1</v>
      </c>
      <c r="E64" s="125" t="s">
        <v>163</v>
      </c>
      <c r="F64" s="126">
        <v>171500</v>
      </c>
      <c r="G64" s="127">
        <f>ROUNDDOWN(D64*F64,0)</f>
        <v>171500</v>
      </c>
    </row>
    <row r="65" spans="1:7" ht="20.100000000000001" hidden="1" customHeight="1" outlineLevel="1">
      <c r="A65" s="200" t="s">
        <v>777</v>
      </c>
      <c r="B65" s="123" t="s">
        <v>168</v>
      </c>
      <c r="C65" s="123" t="s">
        <v>157</v>
      </c>
      <c r="D65" s="124">
        <v>1</v>
      </c>
      <c r="E65" s="125" t="s">
        <v>163</v>
      </c>
      <c r="F65" s="126">
        <v>22900</v>
      </c>
      <c r="G65" s="127">
        <f>ROUNDDOWN(D65*F65,0)</f>
        <v>22900</v>
      </c>
    </row>
    <row r="66" spans="1:7" ht="20.100000000000001" hidden="1" customHeight="1" outlineLevel="1">
      <c r="A66" s="200" t="s">
        <v>778</v>
      </c>
      <c r="B66" s="123" t="s">
        <v>164</v>
      </c>
      <c r="C66" s="123" t="s">
        <v>169</v>
      </c>
      <c r="D66" s="124">
        <v>1</v>
      </c>
      <c r="E66" s="125" t="s">
        <v>163</v>
      </c>
      <c r="F66" s="126">
        <v>142900</v>
      </c>
      <c r="G66" s="127">
        <f>ROUNDDOWN(D66*F66,0)</f>
        <v>142900</v>
      </c>
    </row>
    <row r="67" spans="1:7" ht="20.100000000000001" hidden="1" customHeight="1" outlineLevel="1">
      <c r="A67" s="200" t="s">
        <v>779</v>
      </c>
      <c r="B67" s="123" t="s">
        <v>172</v>
      </c>
      <c r="C67" s="123" t="s">
        <v>173</v>
      </c>
      <c r="D67" s="124">
        <v>1</v>
      </c>
      <c r="E67" s="125" t="s">
        <v>163</v>
      </c>
      <c r="F67" s="126">
        <v>50000</v>
      </c>
      <c r="G67" s="127">
        <f>ROUNDDOWN(D67*F67,0)</f>
        <v>50000</v>
      </c>
    </row>
    <row r="68" spans="1:7" ht="20.100000000000001" hidden="1" customHeight="1" outlineLevel="1">
      <c r="A68" s="200"/>
      <c r="B68" s="150"/>
      <c r="C68" s="150"/>
      <c r="D68" s="151"/>
      <c r="E68" s="151"/>
      <c r="F68" s="151"/>
      <c r="G68" s="152"/>
    </row>
    <row r="69" spans="1:7" ht="20.100000000000001" hidden="1" customHeight="1" outlineLevel="1">
      <c r="A69" s="200"/>
      <c r="B69" s="150"/>
      <c r="C69" s="150"/>
      <c r="D69" s="151"/>
      <c r="E69" s="151"/>
      <c r="F69" s="151"/>
      <c r="G69" s="152"/>
    </row>
    <row r="70" spans="1:7" ht="20.100000000000001" hidden="1" customHeight="1" outlineLevel="1">
      <c r="A70" s="200"/>
      <c r="B70" s="150"/>
      <c r="C70" s="150"/>
      <c r="D70" s="151"/>
      <c r="E70" s="151"/>
      <c r="F70" s="151"/>
      <c r="G70" s="152"/>
    </row>
    <row r="71" spans="1:7" ht="20.100000000000001" hidden="1" customHeight="1" outlineLevel="1">
      <c r="A71" s="200"/>
      <c r="B71" s="150"/>
      <c r="C71" s="150"/>
      <c r="D71" s="151"/>
      <c r="E71" s="151"/>
      <c r="F71" s="151"/>
      <c r="G71" s="152"/>
    </row>
    <row r="72" spans="1:7" ht="20.100000000000001" hidden="1" customHeight="1" outlineLevel="1">
      <c r="A72" s="200"/>
      <c r="B72" s="150"/>
      <c r="C72" s="150"/>
      <c r="D72" s="151"/>
      <c r="E72" s="151"/>
      <c r="F72" s="151"/>
      <c r="G72" s="152"/>
    </row>
    <row r="73" spans="1:7" ht="20.100000000000001" hidden="1" customHeight="1" outlineLevel="1">
      <c r="A73" s="200"/>
      <c r="B73" s="150"/>
      <c r="C73" s="150"/>
      <c r="D73" s="151"/>
      <c r="E73" s="151"/>
      <c r="F73" s="151"/>
      <c r="G73" s="152"/>
    </row>
    <row r="74" spans="1:7" ht="20.100000000000001" hidden="1" customHeight="1" outlineLevel="1">
      <c r="A74" s="200"/>
      <c r="B74" s="150"/>
      <c r="C74" s="150"/>
      <c r="D74" s="151"/>
      <c r="E74" s="151"/>
      <c r="F74" s="151"/>
      <c r="G74" s="152"/>
    </row>
    <row r="75" spans="1:7" ht="20.100000000000001" hidden="1" customHeight="1" outlineLevel="1">
      <c r="A75" s="200"/>
      <c r="B75" s="150"/>
      <c r="C75" s="150"/>
      <c r="D75" s="151"/>
      <c r="E75" s="151"/>
      <c r="F75" s="151"/>
      <c r="G75" s="152"/>
    </row>
    <row r="76" spans="1:7" ht="20.100000000000001" hidden="1" customHeight="1" outlineLevel="1">
      <c r="A76" s="200"/>
      <c r="B76" s="150"/>
      <c r="C76" s="150"/>
      <c r="D76" s="151"/>
      <c r="E76" s="151"/>
      <c r="F76" s="151"/>
      <c r="G76" s="152"/>
    </row>
    <row r="77" spans="1:7" ht="20.100000000000001" hidden="1" customHeight="1" outlineLevel="1">
      <c r="A77" s="200"/>
      <c r="B77" s="150"/>
      <c r="C77" s="150"/>
      <c r="D77" s="151"/>
      <c r="E77" s="151"/>
      <c r="F77" s="151"/>
      <c r="G77" s="152"/>
    </row>
    <row r="78" spans="1:7" ht="20.100000000000001" hidden="1" customHeight="1" outlineLevel="1">
      <c r="A78" s="200"/>
      <c r="B78" s="150"/>
      <c r="C78" s="150"/>
      <c r="D78" s="151"/>
      <c r="E78" s="151"/>
      <c r="F78" s="151"/>
      <c r="G78" s="152"/>
    </row>
    <row r="79" spans="1:7" ht="20.100000000000001" hidden="1" customHeight="1" outlineLevel="1">
      <c r="A79" s="200"/>
      <c r="B79" s="150"/>
      <c r="C79" s="150"/>
      <c r="D79" s="151"/>
      <c r="E79" s="151"/>
      <c r="F79" s="151"/>
      <c r="G79" s="152"/>
    </row>
    <row r="80" spans="1:7" ht="20.100000000000001" hidden="1" customHeight="1" outlineLevel="1">
      <c r="A80" s="199"/>
      <c r="B80" s="163"/>
      <c r="C80" s="163"/>
      <c r="D80" s="164"/>
      <c r="E80" s="164"/>
      <c r="F80" s="164"/>
      <c r="G80" s="165"/>
    </row>
    <row r="81" spans="1:7" ht="20.100000000000001" hidden="1" customHeight="1" outlineLevel="1" thickBot="1">
      <c r="A81" s="198"/>
      <c r="B81" s="157" t="s">
        <v>728</v>
      </c>
      <c r="C81" s="158"/>
      <c r="D81" s="159"/>
      <c r="E81" s="159"/>
      <c r="F81" s="159"/>
      <c r="G81" s="160">
        <f>SUM(G63:G80)</f>
        <v>387300</v>
      </c>
    </row>
    <row r="82" spans="1:7" ht="20.100000000000001" customHeight="1" collapsed="1">
      <c r="A82" s="202" t="s">
        <v>681</v>
      </c>
      <c r="B82" s="166" t="s">
        <v>186</v>
      </c>
      <c r="C82" s="167"/>
      <c r="D82" s="168"/>
      <c r="E82" s="168"/>
      <c r="F82" s="168"/>
      <c r="G82" s="169"/>
    </row>
    <row r="83" spans="1:7" ht="20.100000000000001" customHeight="1">
      <c r="A83" s="200"/>
      <c r="B83" s="150"/>
      <c r="C83" s="150"/>
      <c r="D83" s="151"/>
      <c r="E83" s="151"/>
      <c r="F83" s="151"/>
      <c r="G83" s="152"/>
    </row>
    <row r="84" spans="1:7" ht="20.100000000000001" customHeight="1">
      <c r="A84" s="200" t="s">
        <v>780</v>
      </c>
      <c r="B84" s="123" t="s">
        <v>187</v>
      </c>
      <c r="C84" s="123" t="s">
        <v>157</v>
      </c>
      <c r="D84" s="124">
        <v>1</v>
      </c>
      <c r="E84" s="125" t="s">
        <v>163</v>
      </c>
      <c r="F84" s="126">
        <v>28600</v>
      </c>
      <c r="G84" s="127">
        <f t="shared" ref="G84:G90" si="1">ROUNDDOWN(D84*F84,0)</f>
        <v>28600</v>
      </c>
    </row>
    <row r="85" spans="1:7" ht="20.100000000000001" customHeight="1">
      <c r="A85" s="200" t="s">
        <v>781</v>
      </c>
      <c r="B85" s="123" t="s">
        <v>188</v>
      </c>
      <c r="C85" s="123" t="s">
        <v>157</v>
      </c>
      <c r="D85" s="124">
        <v>62.02</v>
      </c>
      <c r="E85" s="125" t="s">
        <v>176</v>
      </c>
      <c r="F85" s="162">
        <v>28200</v>
      </c>
      <c r="G85" s="127">
        <f t="shared" si="1"/>
        <v>1748964</v>
      </c>
    </row>
    <row r="86" spans="1:7" ht="20.100000000000001" customHeight="1">
      <c r="A86" s="200" t="s">
        <v>782</v>
      </c>
      <c r="B86" s="123" t="s">
        <v>192</v>
      </c>
      <c r="C86" s="123" t="s">
        <v>193</v>
      </c>
      <c r="D86" s="124">
        <v>1</v>
      </c>
      <c r="E86" s="125" t="s">
        <v>163</v>
      </c>
      <c r="F86" s="126">
        <v>137200</v>
      </c>
      <c r="G86" s="127">
        <f t="shared" si="1"/>
        <v>137200</v>
      </c>
    </row>
    <row r="87" spans="1:7" ht="20.100000000000001" customHeight="1">
      <c r="A87" s="200" t="s">
        <v>783</v>
      </c>
      <c r="B87" s="123" t="s">
        <v>194</v>
      </c>
      <c r="C87" s="123" t="s">
        <v>195</v>
      </c>
      <c r="D87" s="124">
        <v>8.1999999999999993</v>
      </c>
      <c r="E87" s="125" t="s">
        <v>176</v>
      </c>
      <c r="F87" s="162">
        <v>5800</v>
      </c>
      <c r="G87" s="127">
        <f t="shared" si="1"/>
        <v>47560</v>
      </c>
    </row>
    <row r="88" spans="1:7" ht="20.100000000000001" customHeight="1">
      <c r="A88" s="200" t="s">
        <v>784</v>
      </c>
      <c r="B88" s="123" t="s">
        <v>199</v>
      </c>
      <c r="C88" s="123" t="s">
        <v>157</v>
      </c>
      <c r="D88" s="124">
        <v>2</v>
      </c>
      <c r="E88" s="125" t="s">
        <v>200</v>
      </c>
      <c r="F88" s="162">
        <v>57200</v>
      </c>
      <c r="G88" s="127">
        <f t="shared" si="1"/>
        <v>114400</v>
      </c>
    </row>
    <row r="89" spans="1:7" ht="20.100000000000001" customHeight="1">
      <c r="A89" s="200" t="s">
        <v>785</v>
      </c>
      <c r="B89" s="123" t="s">
        <v>201</v>
      </c>
      <c r="C89" s="123" t="s">
        <v>202</v>
      </c>
      <c r="D89" s="124">
        <v>16.39</v>
      </c>
      <c r="E89" s="125" t="s">
        <v>203</v>
      </c>
      <c r="F89" s="162">
        <v>11500</v>
      </c>
      <c r="G89" s="127">
        <f t="shared" si="1"/>
        <v>188485</v>
      </c>
    </row>
    <row r="90" spans="1:7" ht="20.100000000000001" customHeight="1">
      <c r="A90" s="200" t="s">
        <v>786</v>
      </c>
      <c r="B90" s="123" t="s">
        <v>205</v>
      </c>
      <c r="C90" s="123" t="s">
        <v>157</v>
      </c>
      <c r="D90" s="124">
        <v>0.46</v>
      </c>
      <c r="E90" s="125" t="s">
        <v>203</v>
      </c>
      <c r="F90" s="162">
        <v>22600</v>
      </c>
      <c r="G90" s="127">
        <f t="shared" si="1"/>
        <v>10396</v>
      </c>
    </row>
    <row r="91" spans="1:7" ht="20.100000000000001" customHeight="1">
      <c r="A91" s="200"/>
      <c r="B91" s="204" t="s">
        <v>206</v>
      </c>
      <c r="C91" s="190"/>
      <c r="D91" s="124"/>
      <c r="E91" s="125"/>
      <c r="F91" s="126"/>
      <c r="G91" s="127"/>
    </row>
    <row r="92" spans="1:7" ht="20.100000000000001" customHeight="1">
      <c r="A92" s="200"/>
      <c r="B92" s="204" t="s">
        <v>996</v>
      </c>
      <c r="C92" s="190"/>
      <c r="D92" s="124"/>
      <c r="E92" s="125"/>
      <c r="F92" s="126"/>
      <c r="G92" s="127"/>
    </row>
    <row r="93" spans="1:7" ht="20.100000000000001" customHeight="1">
      <c r="A93" s="200"/>
      <c r="B93" s="150"/>
      <c r="C93" s="150"/>
      <c r="D93" s="151"/>
      <c r="E93" s="151"/>
      <c r="F93" s="151"/>
      <c r="G93" s="152"/>
    </row>
    <row r="94" spans="1:7" ht="20.100000000000001" customHeight="1">
      <c r="A94" s="200"/>
      <c r="B94" s="150"/>
      <c r="C94" s="150"/>
      <c r="D94" s="151"/>
      <c r="E94" s="151"/>
      <c r="F94" s="151"/>
      <c r="G94" s="152"/>
    </row>
    <row r="95" spans="1:7" ht="20.100000000000001" customHeight="1">
      <c r="A95" s="200"/>
      <c r="B95" s="150"/>
      <c r="C95" s="150"/>
      <c r="D95" s="151"/>
      <c r="E95" s="151"/>
      <c r="F95" s="151"/>
      <c r="G95" s="152"/>
    </row>
    <row r="96" spans="1:7" ht="20.100000000000001" customHeight="1">
      <c r="A96" s="200"/>
      <c r="B96" s="150"/>
      <c r="C96" s="150"/>
      <c r="D96" s="151"/>
      <c r="E96" s="151"/>
      <c r="F96" s="151"/>
      <c r="G96" s="152"/>
    </row>
    <row r="97" spans="1:7" ht="20.100000000000001" customHeight="1">
      <c r="A97" s="200"/>
      <c r="B97" s="150"/>
      <c r="C97" s="150"/>
      <c r="D97" s="151"/>
      <c r="E97" s="151"/>
      <c r="F97" s="151"/>
      <c r="G97" s="152"/>
    </row>
    <row r="98" spans="1:7" ht="20.100000000000001" customHeight="1">
      <c r="A98" s="200"/>
      <c r="B98" s="150"/>
      <c r="C98" s="150"/>
      <c r="D98" s="151"/>
      <c r="E98" s="151"/>
      <c r="F98" s="151"/>
      <c r="G98" s="152"/>
    </row>
    <row r="99" spans="1:7" ht="20.100000000000001" customHeight="1">
      <c r="A99" s="200"/>
      <c r="B99" s="150"/>
      <c r="C99" s="150"/>
      <c r="D99" s="151"/>
      <c r="E99" s="151"/>
      <c r="F99" s="151"/>
      <c r="G99" s="152"/>
    </row>
    <row r="100" spans="1:7" ht="20.100000000000001" customHeight="1">
      <c r="A100" s="199"/>
      <c r="B100" s="163"/>
      <c r="C100" s="163"/>
      <c r="D100" s="164"/>
      <c r="E100" s="164"/>
      <c r="F100" s="164"/>
      <c r="G100" s="165"/>
    </row>
    <row r="101" spans="1:7" ht="20.100000000000001" customHeight="1" thickBot="1">
      <c r="A101" s="198"/>
      <c r="B101" s="157" t="s">
        <v>728</v>
      </c>
      <c r="C101" s="158"/>
      <c r="D101" s="159"/>
      <c r="E101" s="159"/>
      <c r="F101" s="159"/>
      <c r="G101" s="160">
        <f>SUM(G83:G100)</f>
        <v>2275605</v>
      </c>
    </row>
    <row r="102" spans="1:7" ht="20.100000000000001" customHeight="1">
      <c r="A102" s="202" t="s">
        <v>749</v>
      </c>
      <c r="B102" s="166" t="s">
        <v>209</v>
      </c>
      <c r="C102" s="167"/>
      <c r="D102" s="168"/>
      <c r="E102" s="168"/>
      <c r="F102" s="168"/>
      <c r="G102" s="169"/>
    </row>
    <row r="103" spans="1:7" ht="20.100000000000001" customHeight="1">
      <c r="A103" s="200"/>
      <c r="B103" s="150"/>
      <c r="C103" s="150"/>
      <c r="D103" s="151"/>
      <c r="E103" s="151"/>
      <c r="F103" s="151"/>
      <c r="G103" s="152"/>
    </row>
    <row r="104" spans="1:7" ht="20.100000000000001" customHeight="1">
      <c r="A104" s="200" t="s">
        <v>787</v>
      </c>
      <c r="B104" s="123" t="s">
        <v>210</v>
      </c>
      <c r="C104" s="123" t="s">
        <v>157</v>
      </c>
      <c r="D104" s="124">
        <v>1</v>
      </c>
      <c r="E104" s="125" t="s">
        <v>163</v>
      </c>
      <c r="F104" s="126">
        <f>G141</f>
        <v>3943795</v>
      </c>
      <c r="G104" s="127">
        <f t="shared" ref="G104:G109" si="2">ROUNDDOWN(D104*F104,0)</f>
        <v>3943795</v>
      </c>
    </row>
    <row r="105" spans="1:7" ht="20.100000000000001" customHeight="1">
      <c r="A105" s="200" t="s">
        <v>788</v>
      </c>
      <c r="B105" s="123" t="s">
        <v>235</v>
      </c>
      <c r="C105" s="123" t="s">
        <v>157</v>
      </c>
      <c r="D105" s="124">
        <v>1</v>
      </c>
      <c r="E105" s="125" t="s">
        <v>163</v>
      </c>
      <c r="F105" s="126">
        <f>G201</f>
        <v>4333718</v>
      </c>
      <c r="G105" s="127">
        <f t="shared" si="2"/>
        <v>4333718</v>
      </c>
    </row>
    <row r="106" spans="1:7" ht="20.100000000000001" customHeight="1">
      <c r="A106" s="200" t="s">
        <v>789</v>
      </c>
      <c r="B106" s="123" t="s">
        <v>348</v>
      </c>
      <c r="C106" s="123" t="s">
        <v>157</v>
      </c>
      <c r="D106" s="124">
        <v>1</v>
      </c>
      <c r="E106" s="125" t="s">
        <v>163</v>
      </c>
      <c r="F106" s="126">
        <f>G241</f>
        <v>3484098</v>
      </c>
      <c r="G106" s="127">
        <f t="shared" si="2"/>
        <v>3484098</v>
      </c>
    </row>
    <row r="107" spans="1:7" ht="20.100000000000001" customHeight="1">
      <c r="A107" s="200" t="s">
        <v>790</v>
      </c>
      <c r="B107" s="123" t="s">
        <v>402</v>
      </c>
      <c r="C107" s="123" t="s">
        <v>403</v>
      </c>
      <c r="D107" s="124">
        <v>10</v>
      </c>
      <c r="E107" s="125" t="s">
        <v>213</v>
      </c>
      <c r="F107" s="162">
        <v>31200</v>
      </c>
      <c r="G107" s="127">
        <f t="shared" si="2"/>
        <v>312000</v>
      </c>
    </row>
    <row r="108" spans="1:7" ht="20.100000000000001" customHeight="1">
      <c r="A108" s="200" t="s">
        <v>791</v>
      </c>
      <c r="B108" s="123" t="s">
        <v>406</v>
      </c>
      <c r="C108" s="123" t="s">
        <v>407</v>
      </c>
      <c r="D108" s="124">
        <v>16</v>
      </c>
      <c r="E108" s="125" t="s">
        <v>213</v>
      </c>
      <c r="F108" s="162">
        <v>11500</v>
      </c>
      <c r="G108" s="127">
        <f t="shared" si="2"/>
        <v>184000</v>
      </c>
    </row>
    <row r="109" spans="1:7" ht="20.100000000000001" customHeight="1">
      <c r="A109" s="200" t="s">
        <v>792</v>
      </c>
      <c r="B109" s="123" t="s">
        <v>410</v>
      </c>
      <c r="C109" s="123" t="s">
        <v>411</v>
      </c>
      <c r="D109" s="124">
        <v>3</v>
      </c>
      <c r="E109" s="125" t="s">
        <v>213</v>
      </c>
      <c r="F109" s="162">
        <v>20000</v>
      </c>
      <c r="G109" s="127">
        <f t="shared" si="2"/>
        <v>60000</v>
      </c>
    </row>
    <row r="110" spans="1:7" ht="20.100000000000001" customHeight="1">
      <c r="A110" s="200"/>
      <c r="B110" s="150"/>
      <c r="C110" s="150"/>
      <c r="D110" s="151"/>
      <c r="E110" s="151"/>
      <c r="F110" s="151"/>
      <c r="G110" s="152"/>
    </row>
    <row r="111" spans="1:7" ht="20.100000000000001" customHeight="1">
      <c r="A111" s="200"/>
      <c r="B111" s="150"/>
      <c r="C111" s="150"/>
      <c r="D111" s="151"/>
      <c r="E111" s="151"/>
      <c r="F111" s="151"/>
      <c r="G111" s="152"/>
    </row>
    <row r="112" spans="1:7" ht="20.100000000000001" customHeight="1">
      <c r="A112" s="200"/>
      <c r="B112" s="150"/>
      <c r="C112" s="150"/>
      <c r="D112" s="151"/>
      <c r="E112" s="151"/>
      <c r="F112" s="151"/>
      <c r="G112" s="152"/>
    </row>
    <row r="113" spans="1:7" ht="20.100000000000001" customHeight="1">
      <c r="A113" s="200"/>
      <c r="B113" s="150"/>
      <c r="C113" s="150"/>
      <c r="D113" s="151"/>
      <c r="E113" s="151"/>
      <c r="F113" s="151"/>
      <c r="G113" s="152"/>
    </row>
    <row r="114" spans="1:7" ht="20.100000000000001" customHeight="1">
      <c r="A114" s="200"/>
      <c r="B114" s="150"/>
      <c r="C114" s="150"/>
      <c r="D114" s="151"/>
      <c r="E114" s="151"/>
      <c r="F114" s="151"/>
      <c r="G114" s="152"/>
    </row>
    <row r="115" spans="1:7" ht="20.100000000000001" customHeight="1">
      <c r="A115" s="200"/>
      <c r="B115" s="150"/>
      <c r="C115" s="150"/>
      <c r="D115" s="151"/>
      <c r="E115" s="151"/>
      <c r="F115" s="151"/>
      <c r="G115" s="152"/>
    </row>
    <row r="116" spans="1:7" ht="20.100000000000001" customHeight="1">
      <c r="A116" s="200"/>
      <c r="B116" s="150"/>
      <c r="C116" s="150"/>
      <c r="D116" s="151"/>
      <c r="E116" s="151"/>
      <c r="F116" s="151"/>
      <c r="G116" s="152"/>
    </row>
    <row r="117" spans="1:7" ht="20.100000000000001" customHeight="1">
      <c r="A117" s="200"/>
      <c r="B117" s="150"/>
      <c r="C117" s="150"/>
      <c r="D117" s="151"/>
      <c r="E117" s="151"/>
      <c r="F117" s="151"/>
      <c r="G117" s="152"/>
    </row>
    <row r="118" spans="1:7" ht="20.100000000000001" customHeight="1">
      <c r="A118" s="200"/>
      <c r="B118" s="150"/>
      <c r="C118" s="150"/>
      <c r="D118" s="151"/>
      <c r="E118" s="151"/>
      <c r="F118" s="151"/>
      <c r="G118" s="152"/>
    </row>
    <row r="119" spans="1:7" ht="20.100000000000001" customHeight="1">
      <c r="A119" s="200"/>
      <c r="B119" s="150"/>
      <c r="C119" s="150"/>
      <c r="D119" s="151"/>
      <c r="E119" s="151"/>
      <c r="F119" s="151"/>
      <c r="G119" s="152"/>
    </row>
    <row r="120" spans="1:7" ht="20.100000000000001" customHeight="1">
      <c r="A120" s="199"/>
      <c r="B120" s="163"/>
      <c r="C120" s="163"/>
      <c r="D120" s="164"/>
      <c r="E120" s="164"/>
      <c r="F120" s="164"/>
      <c r="G120" s="165"/>
    </row>
    <row r="121" spans="1:7" ht="20.100000000000001" customHeight="1" thickBot="1">
      <c r="A121" s="198"/>
      <c r="B121" s="157" t="s">
        <v>728</v>
      </c>
      <c r="C121" s="158"/>
      <c r="D121" s="159"/>
      <c r="E121" s="159"/>
      <c r="F121" s="159"/>
      <c r="G121" s="160">
        <f>SUM(G103:G120)</f>
        <v>12317611</v>
      </c>
    </row>
    <row r="122" spans="1:7" ht="20.100000000000001" hidden="1" customHeight="1" outlineLevel="1">
      <c r="A122" s="202" t="s">
        <v>787</v>
      </c>
      <c r="B122" s="166" t="s">
        <v>210</v>
      </c>
      <c r="C122" s="167"/>
      <c r="D122" s="168"/>
      <c r="E122" s="168"/>
      <c r="F122" s="168"/>
      <c r="G122" s="169"/>
    </row>
    <row r="123" spans="1:7" ht="20.100000000000001" hidden="1" customHeight="1" outlineLevel="1">
      <c r="A123" s="200"/>
      <c r="B123" s="150"/>
      <c r="C123" s="150"/>
      <c r="D123" s="151"/>
      <c r="E123" s="151"/>
      <c r="F123" s="151"/>
      <c r="G123" s="152"/>
    </row>
    <row r="124" spans="1:7" ht="20.100000000000001" hidden="1" customHeight="1" outlineLevel="1">
      <c r="A124" s="200" t="s">
        <v>793</v>
      </c>
      <c r="B124" s="123" t="s">
        <v>211</v>
      </c>
      <c r="C124" s="123" t="s">
        <v>212</v>
      </c>
      <c r="D124" s="124">
        <v>35.51</v>
      </c>
      <c r="E124" s="125" t="s">
        <v>213</v>
      </c>
      <c r="F124" s="162">
        <v>102900</v>
      </c>
      <c r="G124" s="127">
        <f t="shared" ref="G124:G131" si="3">ROUNDDOWN(D124*F124,0)</f>
        <v>3653979</v>
      </c>
    </row>
    <row r="125" spans="1:7" ht="20.100000000000001" hidden="1" customHeight="1" outlineLevel="1">
      <c r="A125" s="200" t="s">
        <v>794</v>
      </c>
      <c r="B125" s="123" t="s">
        <v>216</v>
      </c>
      <c r="C125" s="123" t="s">
        <v>157</v>
      </c>
      <c r="D125" s="124">
        <v>-1</v>
      </c>
      <c r="E125" s="125" t="s">
        <v>163</v>
      </c>
      <c r="F125" s="162">
        <v>85800</v>
      </c>
      <c r="G125" s="127">
        <f t="shared" si="3"/>
        <v>-85800</v>
      </c>
    </row>
    <row r="126" spans="1:7" ht="20.100000000000001" hidden="1" customHeight="1" outlineLevel="1">
      <c r="A126" s="200" t="s">
        <v>795</v>
      </c>
      <c r="B126" s="123" t="s">
        <v>217</v>
      </c>
      <c r="C126" s="123" t="s">
        <v>218</v>
      </c>
      <c r="D126" s="124">
        <v>4</v>
      </c>
      <c r="E126" s="125" t="s">
        <v>219</v>
      </c>
      <c r="F126" s="162">
        <v>21500</v>
      </c>
      <c r="G126" s="127">
        <f t="shared" si="3"/>
        <v>86000</v>
      </c>
    </row>
    <row r="127" spans="1:7" ht="20.100000000000001" hidden="1" customHeight="1" outlineLevel="1">
      <c r="A127" s="200" t="s">
        <v>796</v>
      </c>
      <c r="B127" s="123" t="s">
        <v>222</v>
      </c>
      <c r="C127" s="123" t="s">
        <v>223</v>
      </c>
      <c r="D127" s="124">
        <v>1.06</v>
      </c>
      <c r="E127" s="125" t="s">
        <v>213</v>
      </c>
      <c r="F127" s="162">
        <v>3600</v>
      </c>
      <c r="G127" s="127">
        <f t="shared" si="3"/>
        <v>3816</v>
      </c>
    </row>
    <row r="128" spans="1:7" ht="20.100000000000001" hidden="1" customHeight="1" outlineLevel="1">
      <c r="A128" s="200" t="s">
        <v>797</v>
      </c>
      <c r="B128" s="123" t="s">
        <v>226</v>
      </c>
      <c r="C128" s="123" t="s">
        <v>227</v>
      </c>
      <c r="D128" s="124">
        <v>1</v>
      </c>
      <c r="E128" s="125" t="s">
        <v>228</v>
      </c>
      <c r="F128" s="126">
        <v>17200</v>
      </c>
      <c r="G128" s="127">
        <f t="shared" si="3"/>
        <v>17200</v>
      </c>
    </row>
    <row r="129" spans="1:7" ht="20.100000000000001" hidden="1" customHeight="1" outlineLevel="1">
      <c r="A129" s="200" t="s">
        <v>798</v>
      </c>
      <c r="B129" s="123" t="s">
        <v>229</v>
      </c>
      <c r="C129" s="123" t="s">
        <v>157</v>
      </c>
      <c r="D129" s="124">
        <v>1</v>
      </c>
      <c r="E129" s="125" t="s">
        <v>163</v>
      </c>
      <c r="F129" s="126">
        <v>85800</v>
      </c>
      <c r="G129" s="127">
        <f t="shared" si="3"/>
        <v>85800</v>
      </c>
    </row>
    <row r="130" spans="1:7" ht="20.100000000000001" hidden="1" customHeight="1" outlineLevel="1">
      <c r="A130" s="200" t="s">
        <v>799</v>
      </c>
      <c r="B130" s="123" t="s">
        <v>230</v>
      </c>
      <c r="C130" s="123" t="s">
        <v>231</v>
      </c>
      <c r="D130" s="124">
        <v>1</v>
      </c>
      <c r="E130" s="125" t="s">
        <v>163</v>
      </c>
      <c r="F130" s="126">
        <v>0</v>
      </c>
      <c r="G130" s="127">
        <f t="shared" si="3"/>
        <v>0</v>
      </c>
    </row>
    <row r="131" spans="1:7" ht="20.100000000000001" hidden="1" customHeight="1" outlineLevel="1">
      <c r="A131" s="200" t="s">
        <v>800</v>
      </c>
      <c r="B131" s="123" t="s">
        <v>233</v>
      </c>
      <c r="C131" s="123" t="s">
        <v>234</v>
      </c>
      <c r="D131" s="124">
        <v>1</v>
      </c>
      <c r="E131" s="125" t="s">
        <v>163</v>
      </c>
      <c r="F131" s="126">
        <v>182800</v>
      </c>
      <c r="G131" s="127">
        <f t="shared" si="3"/>
        <v>182800</v>
      </c>
    </row>
    <row r="132" spans="1:7" ht="20.100000000000001" hidden="1" customHeight="1" outlineLevel="1">
      <c r="A132" s="200"/>
      <c r="B132" s="150"/>
      <c r="C132" s="150"/>
      <c r="D132" s="151"/>
      <c r="E132" s="151"/>
      <c r="F132" s="151"/>
      <c r="G132" s="152"/>
    </row>
    <row r="133" spans="1:7" ht="20.100000000000001" hidden="1" customHeight="1" outlineLevel="1">
      <c r="A133" s="200"/>
      <c r="B133" s="150"/>
      <c r="C133" s="150"/>
      <c r="D133" s="151"/>
      <c r="E133" s="151"/>
      <c r="F133" s="151"/>
      <c r="G133" s="152"/>
    </row>
    <row r="134" spans="1:7" ht="20.100000000000001" hidden="1" customHeight="1" outlineLevel="1">
      <c r="A134" s="200"/>
      <c r="B134" s="150"/>
      <c r="C134" s="150"/>
      <c r="D134" s="151"/>
      <c r="E134" s="151"/>
      <c r="F134" s="151"/>
      <c r="G134" s="152"/>
    </row>
    <row r="135" spans="1:7" ht="20.100000000000001" hidden="1" customHeight="1" outlineLevel="1">
      <c r="A135" s="200"/>
      <c r="B135" s="150"/>
      <c r="C135" s="150"/>
      <c r="D135" s="151"/>
      <c r="E135" s="151"/>
      <c r="F135" s="151"/>
      <c r="G135" s="152"/>
    </row>
    <row r="136" spans="1:7" ht="20.100000000000001" hidden="1" customHeight="1" outlineLevel="1">
      <c r="A136" s="200"/>
      <c r="B136" s="150"/>
      <c r="C136" s="150"/>
      <c r="D136" s="151"/>
      <c r="E136" s="151"/>
      <c r="F136" s="151"/>
      <c r="G136" s="152"/>
    </row>
    <row r="137" spans="1:7" ht="20.100000000000001" hidden="1" customHeight="1" outlineLevel="1">
      <c r="A137" s="200"/>
      <c r="B137" s="150"/>
      <c r="C137" s="150"/>
      <c r="D137" s="151"/>
      <c r="E137" s="151"/>
      <c r="F137" s="151"/>
      <c r="G137" s="152"/>
    </row>
    <row r="138" spans="1:7" ht="20.100000000000001" hidden="1" customHeight="1" outlineLevel="1">
      <c r="A138" s="200"/>
      <c r="B138" s="150"/>
      <c r="C138" s="150"/>
      <c r="D138" s="151"/>
      <c r="E138" s="151"/>
      <c r="F138" s="151"/>
      <c r="G138" s="152"/>
    </row>
    <row r="139" spans="1:7" ht="20.100000000000001" hidden="1" customHeight="1" outlineLevel="1">
      <c r="A139" s="200"/>
      <c r="B139" s="150"/>
      <c r="C139" s="150"/>
      <c r="D139" s="151"/>
      <c r="E139" s="151"/>
      <c r="F139" s="151"/>
      <c r="G139" s="152"/>
    </row>
    <row r="140" spans="1:7" ht="20.100000000000001" hidden="1" customHeight="1" outlineLevel="1">
      <c r="A140" s="199"/>
      <c r="B140" s="163"/>
      <c r="C140" s="163"/>
      <c r="D140" s="164"/>
      <c r="E140" s="164"/>
      <c r="F140" s="164"/>
      <c r="G140" s="165"/>
    </row>
    <row r="141" spans="1:7" ht="20.100000000000001" hidden="1" customHeight="1" outlineLevel="1" thickBot="1">
      <c r="A141" s="198"/>
      <c r="B141" s="157" t="s">
        <v>728</v>
      </c>
      <c r="C141" s="158"/>
      <c r="D141" s="159"/>
      <c r="E141" s="159"/>
      <c r="F141" s="159"/>
      <c r="G141" s="160">
        <f>SUM(G123:G140)</f>
        <v>3943795</v>
      </c>
    </row>
    <row r="142" spans="1:7" ht="20.100000000000001" hidden="1" customHeight="1" outlineLevel="1">
      <c r="A142" s="202" t="s">
        <v>788</v>
      </c>
      <c r="B142" s="166" t="s">
        <v>235</v>
      </c>
      <c r="C142" s="167"/>
      <c r="D142" s="168"/>
      <c r="E142" s="168"/>
      <c r="F142" s="168"/>
      <c r="G142" s="169"/>
    </row>
    <row r="143" spans="1:7" ht="20.100000000000001" hidden="1" customHeight="1" outlineLevel="1">
      <c r="A143" s="200"/>
      <c r="B143" s="150"/>
      <c r="C143" s="150"/>
      <c r="D143" s="151"/>
      <c r="E143" s="151"/>
      <c r="F143" s="151"/>
      <c r="G143" s="152"/>
    </row>
    <row r="144" spans="1:7" ht="20.100000000000001" hidden="1" customHeight="1" outlineLevel="1">
      <c r="A144" s="200" t="s">
        <v>801</v>
      </c>
      <c r="B144" s="123" t="s">
        <v>236</v>
      </c>
      <c r="C144" s="123" t="s">
        <v>167</v>
      </c>
      <c r="D144" s="124">
        <v>35.51</v>
      </c>
      <c r="E144" s="125" t="s">
        <v>213</v>
      </c>
      <c r="F144" s="162">
        <v>37200</v>
      </c>
      <c r="G144" s="127">
        <f t="shared" ref="G144:G188" si="4">ROUNDDOWN(D144*F144,0)</f>
        <v>1320972</v>
      </c>
    </row>
    <row r="145" spans="1:7" ht="20.100000000000001" hidden="1" customHeight="1" outlineLevel="1">
      <c r="A145" s="200" t="s">
        <v>802</v>
      </c>
      <c r="B145" s="123" t="s">
        <v>239</v>
      </c>
      <c r="C145" s="123" t="s">
        <v>240</v>
      </c>
      <c r="D145" s="124">
        <v>4</v>
      </c>
      <c r="E145" s="125" t="s">
        <v>219</v>
      </c>
      <c r="F145" s="162">
        <v>14300</v>
      </c>
      <c r="G145" s="127">
        <f t="shared" si="4"/>
        <v>57200</v>
      </c>
    </row>
    <row r="146" spans="1:7" ht="20.100000000000001" hidden="1" customHeight="1" outlineLevel="1">
      <c r="A146" s="200" t="s">
        <v>803</v>
      </c>
      <c r="B146" s="123" t="s">
        <v>241</v>
      </c>
      <c r="C146" s="123" t="s">
        <v>242</v>
      </c>
      <c r="D146" s="124">
        <v>1</v>
      </c>
      <c r="E146" s="125" t="s">
        <v>163</v>
      </c>
      <c r="F146" s="126">
        <v>-14300</v>
      </c>
      <c r="G146" s="127">
        <f t="shared" si="4"/>
        <v>-14300</v>
      </c>
    </row>
    <row r="147" spans="1:7" ht="20.100000000000001" hidden="1" customHeight="1" outlineLevel="1">
      <c r="A147" s="200" t="s">
        <v>804</v>
      </c>
      <c r="B147" s="123" t="s">
        <v>243</v>
      </c>
      <c r="C147" s="123" t="s">
        <v>157</v>
      </c>
      <c r="D147" s="124">
        <v>1</v>
      </c>
      <c r="E147" s="125" t="s">
        <v>163</v>
      </c>
      <c r="F147" s="126">
        <v>-142900</v>
      </c>
      <c r="G147" s="127">
        <f t="shared" si="4"/>
        <v>-142900</v>
      </c>
    </row>
    <row r="148" spans="1:7" ht="20.100000000000001" hidden="1" customHeight="1" outlineLevel="1">
      <c r="A148" s="200" t="s">
        <v>805</v>
      </c>
      <c r="B148" s="123" t="s">
        <v>244</v>
      </c>
      <c r="C148" s="123" t="s">
        <v>245</v>
      </c>
      <c r="D148" s="124">
        <v>1</v>
      </c>
      <c r="E148" s="125" t="s">
        <v>228</v>
      </c>
      <c r="F148" s="126">
        <v>14300</v>
      </c>
      <c r="G148" s="127">
        <f t="shared" si="4"/>
        <v>14300</v>
      </c>
    </row>
    <row r="149" spans="1:7" ht="20.100000000000001" hidden="1" customHeight="1" outlineLevel="1">
      <c r="A149" s="200" t="s">
        <v>806</v>
      </c>
      <c r="B149" s="123" t="s">
        <v>249</v>
      </c>
      <c r="C149" s="123" t="s">
        <v>250</v>
      </c>
      <c r="D149" s="124">
        <v>2</v>
      </c>
      <c r="E149" s="125" t="s">
        <v>228</v>
      </c>
      <c r="F149" s="162">
        <v>18600</v>
      </c>
      <c r="G149" s="127">
        <f t="shared" si="4"/>
        <v>37200</v>
      </c>
    </row>
    <row r="150" spans="1:7" ht="20.100000000000001" hidden="1" customHeight="1" outlineLevel="1">
      <c r="A150" s="200" t="s">
        <v>807</v>
      </c>
      <c r="B150" s="123" t="s">
        <v>251</v>
      </c>
      <c r="C150" s="123" t="s">
        <v>252</v>
      </c>
      <c r="D150" s="124">
        <v>5.59</v>
      </c>
      <c r="E150" s="125" t="s">
        <v>176</v>
      </c>
      <c r="F150" s="162">
        <v>-2900</v>
      </c>
      <c r="G150" s="127">
        <f t="shared" si="4"/>
        <v>-16211</v>
      </c>
    </row>
    <row r="151" spans="1:7" ht="20.100000000000001" hidden="1" customHeight="1" outlineLevel="1">
      <c r="A151" s="200" t="s">
        <v>808</v>
      </c>
      <c r="B151" s="123" t="s">
        <v>255</v>
      </c>
      <c r="C151" s="123" t="s">
        <v>256</v>
      </c>
      <c r="D151" s="124">
        <v>1</v>
      </c>
      <c r="E151" s="125" t="s">
        <v>257</v>
      </c>
      <c r="F151" s="126">
        <v>151500</v>
      </c>
      <c r="G151" s="127">
        <f t="shared" si="4"/>
        <v>151500</v>
      </c>
    </row>
    <row r="152" spans="1:7" ht="20.100000000000001" hidden="1" customHeight="1" outlineLevel="1">
      <c r="A152" s="200" t="s">
        <v>809</v>
      </c>
      <c r="B152" s="123" t="s">
        <v>260</v>
      </c>
      <c r="C152" s="123" t="s">
        <v>261</v>
      </c>
      <c r="D152" s="124">
        <v>1</v>
      </c>
      <c r="E152" s="125" t="s">
        <v>257</v>
      </c>
      <c r="F152" s="126">
        <v>43500</v>
      </c>
      <c r="G152" s="127">
        <f t="shared" si="4"/>
        <v>43500</v>
      </c>
    </row>
    <row r="153" spans="1:7" ht="20.100000000000001" hidden="1" customHeight="1" outlineLevel="1">
      <c r="A153" s="200" t="s">
        <v>810</v>
      </c>
      <c r="B153" s="123" t="s">
        <v>264</v>
      </c>
      <c r="C153" s="123" t="s">
        <v>265</v>
      </c>
      <c r="D153" s="124">
        <v>6</v>
      </c>
      <c r="E153" s="125" t="s">
        <v>219</v>
      </c>
      <c r="F153" s="162">
        <v>17200</v>
      </c>
      <c r="G153" s="127">
        <f t="shared" si="4"/>
        <v>103200</v>
      </c>
    </row>
    <row r="154" spans="1:7" ht="20.100000000000001" hidden="1" customHeight="1" outlineLevel="1">
      <c r="A154" s="200" t="s">
        <v>811</v>
      </c>
      <c r="B154" s="123" t="s">
        <v>268</v>
      </c>
      <c r="C154" s="123" t="s">
        <v>157</v>
      </c>
      <c r="D154" s="124">
        <v>3</v>
      </c>
      <c r="E154" s="125" t="s">
        <v>219</v>
      </c>
      <c r="F154" s="162">
        <v>28600</v>
      </c>
      <c r="G154" s="127">
        <f t="shared" si="4"/>
        <v>85800</v>
      </c>
    </row>
    <row r="155" spans="1:7" ht="20.100000000000001" hidden="1" customHeight="1" outlineLevel="1">
      <c r="A155" s="200" t="s">
        <v>812</v>
      </c>
      <c r="B155" s="123" t="s">
        <v>269</v>
      </c>
      <c r="C155" s="123" t="s">
        <v>270</v>
      </c>
      <c r="D155" s="124">
        <v>2</v>
      </c>
      <c r="E155" s="125" t="s">
        <v>228</v>
      </c>
      <c r="F155" s="162">
        <v>20000</v>
      </c>
      <c r="G155" s="127">
        <f t="shared" si="4"/>
        <v>40000</v>
      </c>
    </row>
    <row r="156" spans="1:7" ht="20.100000000000001" hidden="1" customHeight="1" outlineLevel="1">
      <c r="A156" s="200" t="s">
        <v>813</v>
      </c>
      <c r="B156" s="123" t="s">
        <v>274</v>
      </c>
      <c r="C156" s="123" t="s">
        <v>275</v>
      </c>
      <c r="D156" s="124">
        <v>2.69</v>
      </c>
      <c r="E156" s="125" t="s">
        <v>176</v>
      </c>
      <c r="F156" s="162">
        <v>8600</v>
      </c>
      <c r="G156" s="127">
        <f t="shared" si="4"/>
        <v>23134</v>
      </c>
    </row>
    <row r="157" spans="1:7" ht="20.100000000000001" hidden="1" customHeight="1" outlineLevel="1">
      <c r="A157" s="200" t="s">
        <v>814</v>
      </c>
      <c r="B157" s="123" t="s">
        <v>278</v>
      </c>
      <c r="C157" s="123" t="s">
        <v>157</v>
      </c>
      <c r="D157" s="124">
        <v>2.69</v>
      </c>
      <c r="E157" s="125" t="s">
        <v>176</v>
      </c>
      <c r="F157" s="162">
        <v>8600</v>
      </c>
      <c r="G157" s="127">
        <f t="shared" si="4"/>
        <v>23134</v>
      </c>
    </row>
    <row r="158" spans="1:7" ht="20.100000000000001" hidden="1" customHeight="1" outlineLevel="1">
      <c r="A158" s="200" t="s">
        <v>815</v>
      </c>
      <c r="B158" s="123" t="s">
        <v>279</v>
      </c>
      <c r="C158" s="123" t="s">
        <v>265</v>
      </c>
      <c r="D158" s="124">
        <v>1</v>
      </c>
      <c r="E158" s="125" t="s">
        <v>219</v>
      </c>
      <c r="F158" s="126">
        <v>22900</v>
      </c>
      <c r="G158" s="127">
        <f t="shared" si="4"/>
        <v>22900</v>
      </c>
    </row>
    <row r="159" spans="1:7" ht="20.100000000000001" hidden="1" customHeight="1" outlineLevel="1">
      <c r="A159" s="200" t="s">
        <v>816</v>
      </c>
      <c r="B159" s="123" t="s">
        <v>281</v>
      </c>
      <c r="C159" s="123" t="s">
        <v>282</v>
      </c>
      <c r="D159" s="124">
        <v>96.01</v>
      </c>
      <c r="E159" s="125" t="s">
        <v>176</v>
      </c>
      <c r="F159" s="162">
        <v>1100</v>
      </c>
      <c r="G159" s="127">
        <f t="shared" si="4"/>
        <v>105611</v>
      </c>
    </row>
    <row r="160" spans="1:7" ht="20.100000000000001" hidden="1" customHeight="1" outlineLevel="1">
      <c r="A160" s="200" t="s">
        <v>817</v>
      </c>
      <c r="B160" s="141" t="s">
        <v>285</v>
      </c>
      <c r="C160" s="141" t="s">
        <v>286</v>
      </c>
      <c r="D160" s="142">
        <v>193.53</v>
      </c>
      <c r="E160" s="143" t="s">
        <v>176</v>
      </c>
      <c r="F160" s="171">
        <v>800</v>
      </c>
      <c r="G160" s="145">
        <f t="shared" si="4"/>
        <v>154824</v>
      </c>
    </row>
    <row r="161" spans="1:7" ht="20.100000000000001" hidden="1" customHeight="1" outlineLevel="1" thickBot="1">
      <c r="A161" s="203" t="s">
        <v>818</v>
      </c>
      <c r="B161" s="128" t="s">
        <v>289</v>
      </c>
      <c r="C161" s="128" t="s">
        <v>290</v>
      </c>
      <c r="D161" s="129">
        <v>87</v>
      </c>
      <c r="E161" s="130" t="s">
        <v>291</v>
      </c>
      <c r="F161" s="170">
        <v>4300</v>
      </c>
      <c r="G161" s="132">
        <f t="shared" si="4"/>
        <v>374100</v>
      </c>
    </row>
    <row r="162" spans="1:7" ht="20.100000000000001" hidden="1" customHeight="1" outlineLevel="1">
      <c r="A162" s="202" t="s">
        <v>819</v>
      </c>
      <c r="B162" s="136" t="s">
        <v>295</v>
      </c>
      <c r="C162" s="136" t="s">
        <v>296</v>
      </c>
      <c r="D162" s="137">
        <v>4</v>
      </c>
      <c r="E162" s="138" t="s">
        <v>228</v>
      </c>
      <c r="F162" s="172">
        <v>86500</v>
      </c>
      <c r="G162" s="140">
        <f t="shared" si="4"/>
        <v>346000</v>
      </c>
    </row>
    <row r="163" spans="1:7" ht="20.100000000000001" hidden="1" customHeight="1" outlineLevel="1">
      <c r="A163" s="200" t="s">
        <v>820</v>
      </c>
      <c r="B163" s="123" t="s">
        <v>298</v>
      </c>
      <c r="C163" s="123" t="s">
        <v>299</v>
      </c>
      <c r="D163" s="124">
        <v>12</v>
      </c>
      <c r="E163" s="125" t="s">
        <v>228</v>
      </c>
      <c r="F163" s="162">
        <v>4200</v>
      </c>
      <c r="G163" s="127">
        <f t="shared" si="4"/>
        <v>50400</v>
      </c>
    </row>
    <row r="164" spans="1:7" ht="20.100000000000001" hidden="1" customHeight="1" outlineLevel="1">
      <c r="A164" s="200" t="s">
        <v>821</v>
      </c>
      <c r="B164" s="123" t="s">
        <v>303</v>
      </c>
      <c r="C164" s="123" t="s">
        <v>304</v>
      </c>
      <c r="D164" s="124">
        <v>37</v>
      </c>
      <c r="E164" s="125" t="s">
        <v>228</v>
      </c>
      <c r="F164" s="162">
        <v>2100</v>
      </c>
      <c r="G164" s="127">
        <f t="shared" si="4"/>
        <v>77700</v>
      </c>
    </row>
    <row r="165" spans="1:7" ht="20.100000000000001" hidden="1" customHeight="1" outlineLevel="1">
      <c r="A165" s="200" t="s">
        <v>822</v>
      </c>
      <c r="B165" s="123" t="s">
        <v>307</v>
      </c>
      <c r="C165" s="123" t="s">
        <v>308</v>
      </c>
      <c r="D165" s="124">
        <v>1</v>
      </c>
      <c r="E165" s="125" t="s">
        <v>219</v>
      </c>
      <c r="F165" s="126">
        <v>25800</v>
      </c>
      <c r="G165" s="127">
        <f t="shared" si="4"/>
        <v>25800</v>
      </c>
    </row>
    <row r="166" spans="1:7" ht="20.100000000000001" hidden="1" customHeight="1" outlineLevel="1">
      <c r="A166" s="200" t="s">
        <v>823</v>
      </c>
      <c r="B166" s="123" t="s">
        <v>309</v>
      </c>
      <c r="C166" s="123" t="s">
        <v>310</v>
      </c>
      <c r="D166" s="124">
        <v>1</v>
      </c>
      <c r="E166" s="125" t="s">
        <v>257</v>
      </c>
      <c r="F166" s="126">
        <v>176000</v>
      </c>
      <c r="G166" s="127">
        <f t="shared" si="4"/>
        <v>176000</v>
      </c>
    </row>
    <row r="167" spans="1:7" ht="20.100000000000001" hidden="1" customHeight="1" outlineLevel="1">
      <c r="A167" s="200" t="s">
        <v>824</v>
      </c>
      <c r="B167" s="123" t="s">
        <v>311</v>
      </c>
      <c r="C167" s="123" t="s">
        <v>312</v>
      </c>
      <c r="D167" s="124">
        <v>55.61</v>
      </c>
      <c r="E167" s="125" t="s">
        <v>203</v>
      </c>
      <c r="F167" s="162">
        <v>2200</v>
      </c>
      <c r="G167" s="127">
        <f t="shared" si="4"/>
        <v>122342</v>
      </c>
    </row>
    <row r="168" spans="1:7" ht="20.100000000000001" hidden="1" customHeight="1" outlineLevel="1">
      <c r="A168" s="200" t="s">
        <v>825</v>
      </c>
      <c r="B168" s="123" t="s">
        <v>315</v>
      </c>
      <c r="C168" s="123" t="s">
        <v>316</v>
      </c>
      <c r="D168" s="124">
        <v>6</v>
      </c>
      <c r="E168" s="125" t="s">
        <v>219</v>
      </c>
      <c r="F168" s="162">
        <v>0</v>
      </c>
      <c r="G168" s="127">
        <f t="shared" si="4"/>
        <v>0</v>
      </c>
    </row>
    <row r="169" spans="1:7" ht="20.100000000000001" hidden="1" customHeight="1" outlineLevel="1">
      <c r="A169" s="200" t="s">
        <v>826</v>
      </c>
      <c r="B169" s="123" t="s">
        <v>315</v>
      </c>
      <c r="C169" s="123" t="s">
        <v>317</v>
      </c>
      <c r="D169" s="124">
        <v>1</v>
      </c>
      <c r="E169" s="125" t="s">
        <v>163</v>
      </c>
      <c r="F169" s="126">
        <v>29000</v>
      </c>
      <c r="G169" s="127">
        <f t="shared" si="4"/>
        <v>29000</v>
      </c>
    </row>
    <row r="170" spans="1:7" ht="20.100000000000001" hidden="1" customHeight="1" outlineLevel="1">
      <c r="A170" s="200" t="s">
        <v>827</v>
      </c>
      <c r="B170" s="123" t="s">
        <v>318</v>
      </c>
      <c r="C170" s="123" t="s">
        <v>308</v>
      </c>
      <c r="D170" s="124">
        <v>1</v>
      </c>
      <c r="E170" s="125" t="s">
        <v>219</v>
      </c>
      <c r="F170" s="126">
        <v>50000</v>
      </c>
      <c r="G170" s="127">
        <f t="shared" si="4"/>
        <v>50000</v>
      </c>
    </row>
    <row r="171" spans="1:7" ht="20.100000000000001" hidden="1" customHeight="1" outlineLevel="1">
      <c r="A171" s="200" t="s">
        <v>828</v>
      </c>
      <c r="B171" s="123" t="s">
        <v>319</v>
      </c>
      <c r="C171" s="123" t="s">
        <v>320</v>
      </c>
      <c r="D171" s="124">
        <v>1</v>
      </c>
      <c r="E171" s="125" t="s">
        <v>163</v>
      </c>
      <c r="F171" s="126">
        <v>57200</v>
      </c>
      <c r="G171" s="127">
        <f t="shared" si="4"/>
        <v>57200</v>
      </c>
    </row>
    <row r="172" spans="1:7" ht="20.100000000000001" hidden="1" customHeight="1" outlineLevel="1">
      <c r="A172" s="200" t="s">
        <v>829</v>
      </c>
      <c r="B172" s="123" t="s">
        <v>321</v>
      </c>
      <c r="C172" s="123" t="s">
        <v>157</v>
      </c>
      <c r="D172" s="124">
        <v>1</v>
      </c>
      <c r="E172" s="125" t="s">
        <v>163</v>
      </c>
      <c r="F172" s="126">
        <v>71500</v>
      </c>
      <c r="G172" s="127">
        <f t="shared" si="4"/>
        <v>71500</v>
      </c>
    </row>
    <row r="173" spans="1:7" ht="20.100000000000001" hidden="1" customHeight="1" outlineLevel="1">
      <c r="A173" s="200" t="s">
        <v>830</v>
      </c>
      <c r="B173" s="123" t="s">
        <v>322</v>
      </c>
      <c r="C173" s="123" t="s">
        <v>157</v>
      </c>
      <c r="D173" s="124">
        <v>1</v>
      </c>
      <c r="E173" s="125" t="s">
        <v>163</v>
      </c>
      <c r="F173" s="126">
        <v>71500</v>
      </c>
      <c r="G173" s="127">
        <f t="shared" si="4"/>
        <v>71500</v>
      </c>
    </row>
    <row r="174" spans="1:7" ht="20.100000000000001" hidden="1" customHeight="1" outlineLevel="1">
      <c r="A174" s="200" t="s">
        <v>831</v>
      </c>
      <c r="B174" s="123" t="s">
        <v>323</v>
      </c>
      <c r="C174" s="123" t="s">
        <v>157</v>
      </c>
      <c r="D174" s="124">
        <v>5.46</v>
      </c>
      <c r="E174" s="125" t="s">
        <v>203</v>
      </c>
      <c r="F174" s="162">
        <v>7200</v>
      </c>
      <c r="G174" s="127">
        <f t="shared" si="4"/>
        <v>39312</v>
      </c>
    </row>
    <row r="175" spans="1:7" ht="20.100000000000001" hidden="1" customHeight="1" outlineLevel="1">
      <c r="A175" s="200" t="s">
        <v>832</v>
      </c>
      <c r="B175" s="123" t="s">
        <v>324</v>
      </c>
      <c r="C175" s="123" t="s">
        <v>325</v>
      </c>
      <c r="D175" s="124">
        <v>1</v>
      </c>
      <c r="E175" s="125" t="s">
        <v>219</v>
      </c>
      <c r="F175" s="126">
        <v>11500</v>
      </c>
      <c r="G175" s="127">
        <f t="shared" si="4"/>
        <v>11500</v>
      </c>
    </row>
    <row r="176" spans="1:7" ht="20.100000000000001" hidden="1" customHeight="1" outlineLevel="1">
      <c r="A176" s="200" t="s">
        <v>833</v>
      </c>
      <c r="B176" s="123" t="s">
        <v>326</v>
      </c>
      <c r="C176" s="123" t="s">
        <v>327</v>
      </c>
      <c r="D176" s="124">
        <v>6</v>
      </c>
      <c r="E176" s="125" t="s">
        <v>291</v>
      </c>
      <c r="F176" s="162">
        <v>1900</v>
      </c>
      <c r="G176" s="127">
        <f t="shared" si="4"/>
        <v>11400</v>
      </c>
    </row>
    <row r="177" spans="1:7" ht="20.100000000000001" hidden="1" customHeight="1" outlineLevel="1">
      <c r="A177" s="200" t="s">
        <v>834</v>
      </c>
      <c r="B177" s="123" t="s">
        <v>328</v>
      </c>
      <c r="C177" s="123" t="s">
        <v>157</v>
      </c>
      <c r="D177" s="124">
        <v>1</v>
      </c>
      <c r="E177" s="125" t="s">
        <v>228</v>
      </c>
      <c r="F177" s="126">
        <v>7200</v>
      </c>
      <c r="G177" s="127">
        <f t="shared" si="4"/>
        <v>7200</v>
      </c>
    </row>
    <row r="178" spans="1:7" ht="20.100000000000001" hidden="1" customHeight="1" outlineLevel="1">
      <c r="A178" s="200" t="s">
        <v>835</v>
      </c>
      <c r="B178" s="123" t="s">
        <v>329</v>
      </c>
      <c r="C178" s="123" t="s">
        <v>330</v>
      </c>
      <c r="D178" s="124">
        <v>1</v>
      </c>
      <c r="E178" s="125" t="s">
        <v>163</v>
      </c>
      <c r="F178" s="126">
        <v>14300</v>
      </c>
      <c r="G178" s="127">
        <f t="shared" si="4"/>
        <v>14300</v>
      </c>
    </row>
    <row r="179" spans="1:7" ht="20.100000000000001" hidden="1" customHeight="1" outlineLevel="1">
      <c r="A179" s="200" t="s">
        <v>836</v>
      </c>
      <c r="B179" s="123" t="s">
        <v>331</v>
      </c>
      <c r="C179" s="123" t="s">
        <v>332</v>
      </c>
      <c r="D179" s="124">
        <v>1</v>
      </c>
      <c r="E179" s="125" t="s">
        <v>219</v>
      </c>
      <c r="F179" s="126">
        <v>160000</v>
      </c>
      <c r="G179" s="127">
        <f t="shared" si="4"/>
        <v>160000</v>
      </c>
    </row>
    <row r="180" spans="1:7" ht="20.100000000000001" hidden="1" customHeight="1" outlineLevel="1">
      <c r="A180" s="200" t="s">
        <v>837</v>
      </c>
      <c r="B180" s="141" t="s">
        <v>333</v>
      </c>
      <c r="C180" s="141" t="s">
        <v>334</v>
      </c>
      <c r="D180" s="142">
        <v>2</v>
      </c>
      <c r="E180" s="143" t="s">
        <v>203</v>
      </c>
      <c r="F180" s="171">
        <v>2900</v>
      </c>
      <c r="G180" s="145">
        <f t="shared" si="4"/>
        <v>5800</v>
      </c>
    </row>
    <row r="181" spans="1:7" ht="20.100000000000001" hidden="1" customHeight="1" outlineLevel="1" thickBot="1">
      <c r="A181" s="203" t="s">
        <v>838</v>
      </c>
      <c r="B181" s="128" t="s">
        <v>333</v>
      </c>
      <c r="C181" s="128" t="s">
        <v>335</v>
      </c>
      <c r="D181" s="129">
        <v>1</v>
      </c>
      <c r="E181" s="130" t="s">
        <v>219</v>
      </c>
      <c r="F181" s="131">
        <v>2900</v>
      </c>
      <c r="G181" s="132">
        <f t="shared" si="4"/>
        <v>2900</v>
      </c>
    </row>
    <row r="182" spans="1:7" ht="20.100000000000001" hidden="1" customHeight="1" outlineLevel="1">
      <c r="A182" s="202" t="s">
        <v>839</v>
      </c>
      <c r="B182" s="136" t="s">
        <v>336</v>
      </c>
      <c r="C182" s="136" t="s">
        <v>337</v>
      </c>
      <c r="D182" s="137">
        <v>1</v>
      </c>
      <c r="E182" s="138" t="s">
        <v>163</v>
      </c>
      <c r="F182" s="139">
        <v>57200</v>
      </c>
      <c r="G182" s="140">
        <f t="shared" si="4"/>
        <v>57200</v>
      </c>
    </row>
    <row r="183" spans="1:7" ht="20.100000000000001" hidden="1" customHeight="1" outlineLevel="1">
      <c r="A183" s="200" t="s">
        <v>840</v>
      </c>
      <c r="B183" s="123" t="s">
        <v>338</v>
      </c>
      <c r="C183" s="123" t="s">
        <v>339</v>
      </c>
      <c r="D183" s="124">
        <v>1</v>
      </c>
      <c r="E183" s="125" t="s">
        <v>257</v>
      </c>
      <c r="F183" s="126">
        <v>15800</v>
      </c>
      <c r="G183" s="127">
        <f t="shared" si="4"/>
        <v>15800</v>
      </c>
    </row>
    <row r="184" spans="1:7" ht="20.100000000000001" hidden="1" customHeight="1" outlineLevel="1">
      <c r="A184" s="200" t="s">
        <v>841</v>
      </c>
      <c r="B184" s="123" t="s">
        <v>340</v>
      </c>
      <c r="C184" s="123" t="s">
        <v>339</v>
      </c>
      <c r="D184" s="124">
        <v>1</v>
      </c>
      <c r="E184" s="125" t="s">
        <v>163</v>
      </c>
      <c r="F184" s="126">
        <v>4300</v>
      </c>
      <c r="G184" s="127">
        <f t="shared" si="4"/>
        <v>4300</v>
      </c>
    </row>
    <row r="185" spans="1:7" ht="20.100000000000001" hidden="1" customHeight="1" outlineLevel="1">
      <c r="A185" s="200" t="s">
        <v>842</v>
      </c>
      <c r="B185" s="123" t="s">
        <v>341</v>
      </c>
      <c r="C185" s="123" t="s">
        <v>342</v>
      </c>
      <c r="D185" s="124">
        <v>1</v>
      </c>
      <c r="E185" s="125" t="s">
        <v>219</v>
      </c>
      <c r="F185" s="126">
        <v>27500</v>
      </c>
      <c r="G185" s="127">
        <f t="shared" si="4"/>
        <v>27500</v>
      </c>
    </row>
    <row r="186" spans="1:7" ht="20.100000000000001" hidden="1" customHeight="1" outlineLevel="1">
      <c r="A186" s="200" t="s">
        <v>843</v>
      </c>
      <c r="B186" s="123" t="s">
        <v>343</v>
      </c>
      <c r="C186" s="123" t="s">
        <v>337</v>
      </c>
      <c r="D186" s="124">
        <v>1</v>
      </c>
      <c r="E186" s="125" t="s">
        <v>219</v>
      </c>
      <c r="F186" s="126">
        <v>22900</v>
      </c>
      <c r="G186" s="127">
        <f t="shared" si="4"/>
        <v>22900</v>
      </c>
    </row>
    <row r="187" spans="1:7" ht="20.100000000000001" hidden="1" customHeight="1" outlineLevel="1">
      <c r="A187" s="200" t="s">
        <v>844</v>
      </c>
      <c r="B187" s="146" t="s">
        <v>997</v>
      </c>
      <c r="C187" s="123" t="s">
        <v>157</v>
      </c>
      <c r="D187" s="124">
        <v>1</v>
      </c>
      <c r="E187" s="125" t="s">
        <v>163</v>
      </c>
      <c r="F187" s="126">
        <v>475000</v>
      </c>
      <c r="G187" s="127">
        <f t="shared" si="4"/>
        <v>475000</v>
      </c>
    </row>
    <row r="188" spans="1:7" ht="20.100000000000001" hidden="1" customHeight="1" outlineLevel="1">
      <c r="A188" s="200" t="s">
        <v>845</v>
      </c>
      <c r="B188" s="123" t="s">
        <v>345</v>
      </c>
      <c r="C188" s="123" t="s">
        <v>346</v>
      </c>
      <c r="D188" s="124">
        <v>1</v>
      </c>
      <c r="E188" s="125" t="s">
        <v>347</v>
      </c>
      <c r="F188" s="126">
        <v>17200</v>
      </c>
      <c r="G188" s="127">
        <f t="shared" si="4"/>
        <v>17200</v>
      </c>
    </row>
    <row r="189" spans="1:7" ht="20.100000000000001" hidden="1" customHeight="1" outlineLevel="1">
      <c r="A189" s="200"/>
      <c r="B189" s="150"/>
      <c r="C189" s="150"/>
      <c r="D189" s="151"/>
      <c r="E189" s="151"/>
      <c r="F189" s="151"/>
      <c r="G189" s="152"/>
    </row>
    <row r="190" spans="1:7" ht="20.100000000000001" hidden="1" customHeight="1" outlineLevel="1">
      <c r="A190" s="200"/>
      <c r="B190" s="150"/>
      <c r="C190" s="150"/>
      <c r="D190" s="151"/>
      <c r="E190" s="151"/>
      <c r="F190" s="151"/>
      <c r="G190" s="152"/>
    </row>
    <row r="191" spans="1:7" ht="20.100000000000001" hidden="1" customHeight="1" outlineLevel="1">
      <c r="A191" s="200"/>
      <c r="B191" s="150"/>
      <c r="C191" s="150"/>
      <c r="D191" s="151"/>
      <c r="E191" s="151"/>
      <c r="F191" s="151"/>
      <c r="G191" s="152"/>
    </row>
    <row r="192" spans="1:7" ht="20.100000000000001" hidden="1" customHeight="1" outlineLevel="1">
      <c r="A192" s="200"/>
      <c r="B192" s="150"/>
      <c r="C192" s="150"/>
      <c r="D192" s="151"/>
      <c r="E192" s="151"/>
      <c r="F192" s="151"/>
      <c r="G192" s="152"/>
    </row>
    <row r="193" spans="1:7" ht="20.100000000000001" hidden="1" customHeight="1" outlineLevel="1">
      <c r="A193" s="200"/>
      <c r="B193" s="150"/>
      <c r="C193" s="150"/>
      <c r="D193" s="151"/>
      <c r="E193" s="151"/>
      <c r="F193" s="151"/>
      <c r="G193" s="152"/>
    </row>
    <row r="194" spans="1:7" ht="20.100000000000001" hidden="1" customHeight="1" outlineLevel="1">
      <c r="A194" s="200"/>
      <c r="B194" s="150"/>
      <c r="C194" s="150"/>
      <c r="D194" s="151"/>
      <c r="E194" s="151"/>
      <c r="F194" s="151"/>
      <c r="G194" s="152"/>
    </row>
    <row r="195" spans="1:7" ht="20.100000000000001" hidden="1" customHeight="1" outlineLevel="1">
      <c r="A195" s="200"/>
      <c r="B195" s="150"/>
      <c r="C195" s="150"/>
      <c r="D195" s="151"/>
      <c r="E195" s="151"/>
      <c r="F195" s="151"/>
      <c r="G195" s="152"/>
    </row>
    <row r="196" spans="1:7" ht="20.100000000000001" hidden="1" customHeight="1" outlineLevel="1">
      <c r="A196" s="200"/>
      <c r="B196" s="150"/>
      <c r="C196" s="150"/>
      <c r="D196" s="151"/>
      <c r="E196" s="151"/>
      <c r="F196" s="151"/>
      <c r="G196" s="152"/>
    </row>
    <row r="197" spans="1:7" ht="20.100000000000001" hidden="1" customHeight="1" outlineLevel="1">
      <c r="A197" s="200"/>
      <c r="B197" s="150"/>
      <c r="C197" s="150"/>
      <c r="D197" s="151"/>
      <c r="E197" s="151"/>
      <c r="F197" s="151"/>
      <c r="G197" s="152"/>
    </row>
    <row r="198" spans="1:7" ht="20.100000000000001" hidden="1" customHeight="1" outlineLevel="1">
      <c r="A198" s="200"/>
      <c r="B198" s="150"/>
      <c r="C198" s="150"/>
      <c r="D198" s="151"/>
      <c r="E198" s="151"/>
      <c r="F198" s="151"/>
      <c r="G198" s="152"/>
    </row>
    <row r="199" spans="1:7" ht="20.100000000000001" hidden="1" customHeight="1" outlineLevel="1">
      <c r="A199" s="200"/>
      <c r="B199" s="150"/>
      <c r="C199" s="150"/>
      <c r="D199" s="151"/>
      <c r="E199" s="151"/>
      <c r="F199" s="151"/>
      <c r="G199" s="152"/>
    </row>
    <row r="200" spans="1:7" ht="20.100000000000001" hidden="1" customHeight="1" outlineLevel="1">
      <c r="A200" s="199"/>
      <c r="B200" s="163"/>
      <c r="C200" s="163"/>
      <c r="D200" s="164"/>
      <c r="E200" s="164"/>
      <c r="F200" s="164"/>
      <c r="G200" s="165"/>
    </row>
    <row r="201" spans="1:7" ht="20.100000000000001" hidden="1" customHeight="1" outlineLevel="1" thickBot="1">
      <c r="A201" s="198"/>
      <c r="B201" s="157" t="s">
        <v>728</v>
      </c>
      <c r="C201" s="158"/>
      <c r="D201" s="159"/>
      <c r="E201" s="159"/>
      <c r="F201" s="159"/>
      <c r="G201" s="160">
        <f>SUM(G143:G200)</f>
        <v>4333718</v>
      </c>
    </row>
    <row r="202" spans="1:7" ht="20.100000000000001" hidden="1" customHeight="1" outlineLevel="1">
      <c r="A202" s="202" t="s">
        <v>789</v>
      </c>
      <c r="B202" s="166" t="s">
        <v>348</v>
      </c>
      <c r="C202" s="167"/>
      <c r="D202" s="168"/>
      <c r="E202" s="168"/>
      <c r="F202" s="168"/>
      <c r="G202" s="169"/>
    </row>
    <row r="203" spans="1:7" ht="20.100000000000001" hidden="1" customHeight="1" outlineLevel="1">
      <c r="A203" s="200"/>
      <c r="B203" s="150"/>
      <c r="C203" s="150"/>
      <c r="D203" s="151"/>
      <c r="E203" s="151"/>
      <c r="F203" s="151"/>
      <c r="G203" s="152"/>
    </row>
    <row r="204" spans="1:7" ht="20.100000000000001" hidden="1" customHeight="1" outlineLevel="1">
      <c r="A204" s="200" t="s">
        <v>846</v>
      </c>
      <c r="B204" s="123" t="s">
        <v>349</v>
      </c>
      <c r="C204" s="123" t="s">
        <v>350</v>
      </c>
      <c r="D204" s="124">
        <v>34.880000000000003</v>
      </c>
      <c r="E204" s="125" t="s">
        <v>213</v>
      </c>
      <c r="F204" s="162">
        <v>42900</v>
      </c>
      <c r="G204" s="127">
        <f t="shared" ref="G204:G230" si="5">ROUNDDOWN(D204*F204,0)</f>
        <v>1496352</v>
      </c>
    </row>
    <row r="205" spans="1:7" ht="20.100000000000001" hidden="1" customHeight="1" outlineLevel="1">
      <c r="A205" s="200" t="s">
        <v>847</v>
      </c>
      <c r="B205" s="123" t="s">
        <v>353</v>
      </c>
      <c r="C205" s="123" t="s">
        <v>157</v>
      </c>
      <c r="D205" s="124">
        <v>4</v>
      </c>
      <c r="E205" s="125" t="s">
        <v>219</v>
      </c>
      <c r="F205" s="162">
        <v>7200</v>
      </c>
      <c r="G205" s="127">
        <f t="shared" si="5"/>
        <v>28800</v>
      </c>
    </row>
    <row r="206" spans="1:7" ht="20.100000000000001" hidden="1" customHeight="1" outlineLevel="1">
      <c r="A206" s="200" t="s">
        <v>848</v>
      </c>
      <c r="B206" s="123" t="s">
        <v>354</v>
      </c>
      <c r="C206" s="123" t="s">
        <v>157</v>
      </c>
      <c r="D206" s="124">
        <v>2.0699999999999998</v>
      </c>
      <c r="E206" s="125" t="s">
        <v>176</v>
      </c>
      <c r="F206" s="162">
        <v>8600</v>
      </c>
      <c r="G206" s="127">
        <f t="shared" si="5"/>
        <v>17802</v>
      </c>
    </row>
    <row r="207" spans="1:7" ht="20.100000000000001" hidden="1" customHeight="1" outlineLevel="1">
      <c r="A207" s="200" t="s">
        <v>849</v>
      </c>
      <c r="B207" s="123" t="s">
        <v>357</v>
      </c>
      <c r="C207" s="123" t="s">
        <v>157</v>
      </c>
      <c r="D207" s="124">
        <v>1</v>
      </c>
      <c r="E207" s="125" t="s">
        <v>163</v>
      </c>
      <c r="F207" s="126">
        <v>142900</v>
      </c>
      <c r="G207" s="127">
        <f t="shared" si="5"/>
        <v>142900</v>
      </c>
    </row>
    <row r="208" spans="1:7" ht="20.100000000000001" hidden="1" customHeight="1" outlineLevel="1">
      <c r="A208" s="200" t="s">
        <v>850</v>
      </c>
      <c r="B208" s="123" t="s">
        <v>358</v>
      </c>
      <c r="C208" s="123" t="s">
        <v>157</v>
      </c>
      <c r="D208" s="124">
        <v>3</v>
      </c>
      <c r="E208" s="125" t="s">
        <v>219</v>
      </c>
      <c r="F208" s="162">
        <v>15800</v>
      </c>
      <c r="G208" s="127">
        <f t="shared" si="5"/>
        <v>47400</v>
      </c>
    </row>
    <row r="209" spans="1:7" ht="20.100000000000001" hidden="1" customHeight="1" outlineLevel="1">
      <c r="A209" s="200" t="s">
        <v>851</v>
      </c>
      <c r="B209" s="123" t="s">
        <v>359</v>
      </c>
      <c r="C209" s="123" t="s">
        <v>360</v>
      </c>
      <c r="D209" s="124">
        <v>3.52</v>
      </c>
      <c r="E209" s="125" t="s">
        <v>176</v>
      </c>
      <c r="F209" s="162">
        <v>2900</v>
      </c>
      <c r="G209" s="127">
        <f t="shared" si="5"/>
        <v>10208</v>
      </c>
    </row>
    <row r="210" spans="1:7" ht="20.100000000000001" hidden="1" customHeight="1" outlineLevel="1">
      <c r="A210" s="200" t="s">
        <v>852</v>
      </c>
      <c r="B210" s="123" t="s">
        <v>361</v>
      </c>
      <c r="C210" s="123" t="s">
        <v>362</v>
      </c>
      <c r="D210" s="124">
        <v>115.3</v>
      </c>
      <c r="E210" s="125" t="s">
        <v>176</v>
      </c>
      <c r="F210" s="162">
        <v>1500</v>
      </c>
      <c r="G210" s="127">
        <f t="shared" si="5"/>
        <v>172950</v>
      </c>
    </row>
    <row r="211" spans="1:7" ht="20.100000000000001" hidden="1" customHeight="1" outlineLevel="1">
      <c r="A211" s="200" t="s">
        <v>853</v>
      </c>
      <c r="B211" s="123" t="s">
        <v>365</v>
      </c>
      <c r="C211" s="123" t="s">
        <v>366</v>
      </c>
      <c r="D211" s="124">
        <v>26.01</v>
      </c>
      <c r="E211" s="125" t="s">
        <v>176</v>
      </c>
      <c r="F211" s="162">
        <v>1500</v>
      </c>
      <c r="G211" s="127">
        <f t="shared" si="5"/>
        <v>39015</v>
      </c>
    </row>
    <row r="212" spans="1:7" ht="20.100000000000001" hidden="1" customHeight="1" outlineLevel="1">
      <c r="A212" s="200" t="s">
        <v>854</v>
      </c>
      <c r="B212" s="123" t="s">
        <v>370</v>
      </c>
      <c r="C212" s="123" t="s">
        <v>366</v>
      </c>
      <c r="D212" s="124">
        <v>26.01</v>
      </c>
      <c r="E212" s="125" t="s">
        <v>176</v>
      </c>
      <c r="F212" s="162">
        <v>1500</v>
      </c>
      <c r="G212" s="127">
        <f t="shared" si="5"/>
        <v>39015</v>
      </c>
    </row>
    <row r="213" spans="1:7" ht="20.100000000000001" hidden="1" customHeight="1" outlineLevel="1">
      <c r="A213" s="200" t="s">
        <v>855</v>
      </c>
      <c r="B213" s="123" t="s">
        <v>371</v>
      </c>
      <c r="C213" s="123" t="s">
        <v>372</v>
      </c>
      <c r="D213" s="124">
        <v>3</v>
      </c>
      <c r="E213" s="125" t="s">
        <v>219</v>
      </c>
      <c r="F213" s="162">
        <v>4300</v>
      </c>
      <c r="G213" s="127">
        <f t="shared" si="5"/>
        <v>12900</v>
      </c>
    </row>
    <row r="214" spans="1:7" ht="20.100000000000001" hidden="1" customHeight="1" outlineLevel="1">
      <c r="A214" s="200" t="s">
        <v>856</v>
      </c>
      <c r="B214" s="123" t="s">
        <v>374</v>
      </c>
      <c r="C214" s="123" t="s">
        <v>157</v>
      </c>
      <c r="D214" s="124">
        <v>1</v>
      </c>
      <c r="E214" s="125" t="s">
        <v>219</v>
      </c>
      <c r="F214" s="126">
        <v>28600</v>
      </c>
      <c r="G214" s="127">
        <f t="shared" si="5"/>
        <v>28600</v>
      </c>
    </row>
    <row r="215" spans="1:7" ht="20.100000000000001" hidden="1" customHeight="1" outlineLevel="1">
      <c r="A215" s="200" t="s">
        <v>857</v>
      </c>
      <c r="B215" s="123" t="s">
        <v>375</v>
      </c>
      <c r="C215" s="123" t="s">
        <v>157</v>
      </c>
      <c r="D215" s="124">
        <v>1</v>
      </c>
      <c r="E215" s="125" t="s">
        <v>219</v>
      </c>
      <c r="F215" s="126">
        <v>28600</v>
      </c>
      <c r="G215" s="127">
        <f t="shared" si="5"/>
        <v>28600</v>
      </c>
    </row>
    <row r="216" spans="1:7" ht="20.100000000000001" hidden="1" customHeight="1" outlineLevel="1">
      <c r="A216" s="200" t="s">
        <v>858</v>
      </c>
      <c r="B216" s="123" t="s">
        <v>376</v>
      </c>
      <c r="C216" s="123" t="s">
        <v>157</v>
      </c>
      <c r="D216" s="124">
        <v>6</v>
      </c>
      <c r="E216" s="125" t="s">
        <v>219</v>
      </c>
      <c r="F216" s="162">
        <v>2900</v>
      </c>
      <c r="G216" s="127">
        <f t="shared" si="5"/>
        <v>17400</v>
      </c>
    </row>
    <row r="217" spans="1:7" ht="20.100000000000001" hidden="1" customHeight="1" outlineLevel="1">
      <c r="A217" s="200" t="s">
        <v>859</v>
      </c>
      <c r="B217" s="123" t="s">
        <v>377</v>
      </c>
      <c r="C217" s="123" t="s">
        <v>378</v>
      </c>
      <c r="D217" s="124">
        <v>115.3</v>
      </c>
      <c r="E217" s="125" t="s">
        <v>176</v>
      </c>
      <c r="F217" s="162">
        <v>800</v>
      </c>
      <c r="G217" s="127">
        <f t="shared" si="5"/>
        <v>92240</v>
      </c>
    </row>
    <row r="218" spans="1:7" ht="20.100000000000001" hidden="1" customHeight="1" outlineLevel="1">
      <c r="A218" s="200" t="s">
        <v>860</v>
      </c>
      <c r="B218" s="123" t="s">
        <v>381</v>
      </c>
      <c r="C218" s="123" t="s">
        <v>157</v>
      </c>
      <c r="D218" s="124">
        <v>115.3</v>
      </c>
      <c r="E218" s="125" t="s">
        <v>176</v>
      </c>
      <c r="F218" s="162">
        <v>1500</v>
      </c>
      <c r="G218" s="127">
        <f t="shared" si="5"/>
        <v>172950</v>
      </c>
    </row>
    <row r="219" spans="1:7" ht="20.100000000000001" hidden="1" customHeight="1" outlineLevel="1">
      <c r="A219" s="200" t="s">
        <v>861</v>
      </c>
      <c r="B219" s="123" t="s">
        <v>382</v>
      </c>
      <c r="C219" s="123" t="s">
        <v>383</v>
      </c>
      <c r="D219" s="124">
        <v>2.69</v>
      </c>
      <c r="E219" s="125" t="s">
        <v>176</v>
      </c>
      <c r="F219" s="162">
        <v>5800</v>
      </c>
      <c r="G219" s="127">
        <f t="shared" si="5"/>
        <v>15602</v>
      </c>
    </row>
    <row r="220" spans="1:7" ht="20.100000000000001" hidden="1" customHeight="1" outlineLevel="1">
      <c r="A220" s="200" t="s">
        <v>862</v>
      </c>
      <c r="B220" s="141" t="s">
        <v>384</v>
      </c>
      <c r="C220" s="141" t="s">
        <v>337</v>
      </c>
      <c r="D220" s="142">
        <v>0.91</v>
      </c>
      <c r="E220" s="143" t="s">
        <v>203</v>
      </c>
      <c r="F220" s="171">
        <v>25800</v>
      </c>
      <c r="G220" s="145">
        <f t="shared" si="5"/>
        <v>23478</v>
      </c>
    </row>
    <row r="221" spans="1:7" ht="20.100000000000001" hidden="1" customHeight="1" outlineLevel="1" thickBot="1">
      <c r="A221" s="203" t="s">
        <v>863</v>
      </c>
      <c r="B221" s="128" t="s">
        <v>385</v>
      </c>
      <c r="C221" s="128" t="s">
        <v>157</v>
      </c>
      <c r="D221" s="129">
        <v>1</v>
      </c>
      <c r="E221" s="130" t="s">
        <v>163</v>
      </c>
      <c r="F221" s="131">
        <v>78600</v>
      </c>
      <c r="G221" s="132">
        <f t="shared" si="5"/>
        <v>78600</v>
      </c>
    </row>
    <row r="222" spans="1:7" ht="20.100000000000001" hidden="1" customHeight="1" outlineLevel="1">
      <c r="A222" s="202" t="s">
        <v>864</v>
      </c>
      <c r="B222" s="136" t="s">
        <v>387</v>
      </c>
      <c r="C222" s="136" t="s">
        <v>388</v>
      </c>
      <c r="D222" s="137">
        <v>1</v>
      </c>
      <c r="E222" s="138" t="s">
        <v>163</v>
      </c>
      <c r="F222" s="139">
        <v>71500</v>
      </c>
      <c r="G222" s="140">
        <f t="shared" si="5"/>
        <v>71500</v>
      </c>
    </row>
    <row r="223" spans="1:7" ht="20.100000000000001" hidden="1" customHeight="1" outlineLevel="1">
      <c r="A223" s="200" t="s">
        <v>865</v>
      </c>
      <c r="B223" s="123" t="s">
        <v>387</v>
      </c>
      <c r="C223" s="123" t="s">
        <v>389</v>
      </c>
      <c r="D223" s="124">
        <v>15.3</v>
      </c>
      <c r="E223" s="125" t="s">
        <v>176</v>
      </c>
      <c r="F223" s="162">
        <v>580</v>
      </c>
      <c r="G223" s="127">
        <f t="shared" si="5"/>
        <v>8874</v>
      </c>
    </row>
    <row r="224" spans="1:7" ht="20.100000000000001" hidden="1" customHeight="1" outlineLevel="1">
      <c r="A224" s="200" t="s">
        <v>866</v>
      </c>
      <c r="B224" s="123" t="s">
        <v>391</v>
      </c>
      <c r="C224" s="123" t="s">
        <v>392</v>
      </c>
      <c r="D224" s="124">
        <v>1</v>
      </c>
      <c r="E224" s="125" t="s">
        <v>163</v>
      </c>
      <c r="F224" s="126">
        <v>21500</v>
      </c>
      <c r="G224" s="127">
        <f t="shared" si="5"/>
        <v>21500</v>
      </c>
    </row>
    <row r="225" spans="1:7" ht="20.100000000000001" hidden="1" customHeight="1" outlineLevel="1">
      <c r="A225" s="200" t="s">
        <v>867</v>
      </c>
      <c r="B225" s="123" t="s">
        <v>393</v>
      </c>
      <c r="C225" s="123" t="s">
        <v>394</v>
      </c>
      <c r="D225" s="124">
        <v>1</v>
      </c>
      <c r="E225" s="125" t="s">
        <v>163</v>
      </c>
      <c r="F225" s="126">
        <v>107200</v>
      </c>
      <c r="G225" s="127">
        <f t="shared" si="5"/>
        <v>107200</v>
      </c>
    </row>
    <row r="226" spans="1:7" ht="20.100000000000001" hidden="1" customHeight="1" outlineLevel="1">
      <c r="A226" s="200" t="s">
        <v>868</v>
      </c>
      <c r="B226" s="123" t="s">
        <v>395</v>
      </c>
      <c r="C226" s="123" t="s">
        <v>396</v>
      </c>
      <c r="D226" s="124">
        <v>1</v>
      </c>
      <c r="E226" s="125" t="s">
        <v>163</v>
      </c>
      <c r="F226" s="126">
        <v>74300</v>
      </c>
      <c r="G226" s="127">
        <f t="shared" si="5"/>
        <v>74300</v>
      </c>
    </row>
    <row r="227" spans="1:7" ht="20.100000000000001" hidden="1" customHeight="1" outlineLevel="1">
      <c r="A227" s="200" t="s">
        <v>869</v>
      </c>
      <c r="B227" s="123" t="s">
        <v>397</v>
      </c>
      <c r="C227" s="123" t="s">
        <v>398</v>
      </c>
      <c r="D227" s="124">
        <v>1</v>
      </c>
      <c r="E227" s="125" t="s">
        <v>163</v>
      </c>
      <c r="F227" s="126">
        <v>135800</v>
      </c>
      <c r="G227" s="127">
        <f t="shared" si="5"/>
        <v>135800</v>
      </c>
    </row>
    <row r="228" spans="1:7" ht="20.100000000000001" hidden="1" customHeight="1" outlineLevel="1">
      <c r="A228" s="200" t="s">
        <v>870</v>
      </c>
      <c r="B228" s="123" t="s">
        <v>399</v>
      </c>
      <c r="C228" s="123" t="s">
        <v>157</v>
      </c>
      <c r="D228" s="124">
        <v>1</v>
      </c>
      <c r="E228" s="125" t="s">
        <v>163</v>
      </c>
      <c r="F228" s="126">
        <v>85800</v>
      </c>
      <c r="G228" s="127">
        <f t="shared" si="5"/>
        <v>85800</v>
      </c>
    </row>
    <row r="229" spans="1:7" ht="20.100000000000001" hidden="1" customHeight="1" outlineLevel="1">
      <c r="A229" s="200" t="s">
        <v>871</v>
      </c>
      <c r="B229" s="123" t="s">
        <v>400</v>
      </c>
      <c r="C229" s="123" t="s">
        <v>401</v>
      </c>
      <c r="D229" s="124">
        <v>5.46</v>
      </c>
      <c r="E229" s="125" t="s">
        <v>203</v>
      </c>
      <c r="F229" s="162">
        <v>7200</v>
      </c>
      <c r="G229" s="127">
        <f t="shared" si="5"/>
        <v>39312</v>
      </c>
    </row>
    <row r="230" spans="1:7" ht="20.100000000000001" hidden="1" customHeight="1" outlineLevel="1">
      <c r="A230" s="200" t="s">
        <v>872</v>
      </c>
      <c r="B230" s="146" t="s">
        <v>997</v>
      </c>
      <c r="C230" s="123" t="s">
        <v>157</v>
      </c>
      <c r="D230" s="124">
        <v>1</v>
      </c>
      <c r="E230" s="125" t="s">
        <v>163</v>
      </c>
      <c r="F230" s="126">
        <v>475000</v>
      </c>
      <c r="G230" s="127">
        <f t="shared" si="5"/>
        <v>475000</v>
      </c>
    </row>
    <row r="231" spans="1:7" ht="20.100000000000001" hidden="1" customHeight="1" outlineLevel="1">
      <c r="A231" s="200"/>
      <c r="B231" s="150"/>
      <c r="C231" s="150"/>
      <c r="D231" s="151"/>
      <c r="E231" s="151"/>
      <c r="F231" s="151"/>
      <c r="G231" s="152"/>
    </row>
    <row r="232" spans="1:7" ht="20.100000000000001" hidden="1" customHeight="1" outlineLevel="1">
      <c r="A232" s="200"/>
      <c r="B232" s="150"/>
      <c r="C232" s="150"/>
      <c r="D232" s="151"/>
      <c r="E232" s="151"/>
      <c r="F232" s="151"/>
      <c r="G232" s="152"/>
    </row>
    <row r="233" spans="1:7" ht="20.100000000000001" hidden="1" customHeight="1" outlineLevel="1">
      <c r="A233" s="200"/>
      <c r="B233" s="150"/>
      <c r="C233" s="150"/>
      <c r="D233" s="151"/>
      <c r="E233" s="151"/>
      <c r="F233" s="151"/>
      <c r="G233" s="152"/>
    </row>
    <row r="234" spans="1:7" ht="20.100000000000001" hidden="1" customHeight="1" outlineLevel="1">
      <c r="A234" s="200"/>
      <c r="B234" s="150"/>
      <c r="C234" s="150"/>
      <c r="D234" s="151"/>
      <c r="E234" s="151"/>
      <c r="F234" s="151"/>
      <c r="G234" s="152"/>
    </row>
    <row r="235" spans="1:7" ht="20.100000000000001" hidden="1" customHeight="1" outlineLevel="1">
      <c r="A235" s="200"/>
      <c r="B235" s="150"/>
      <c r="C235" s="150"/>
      <c r="D235" s="151"/>
      <c r="E235" s="151"/>
      <c r="F235" s="151"/>
      <c r="G235" s="152"/>
    </row>
    <row r="236" spans="1:7" ht="20.100000000000001" hidden="1" customHeight="1" outlineLevel="1">
      <c r="A236" s="200"/>
      <c r="B236" s="150"/>
      <c r="C236" s="150"/>
      <c r="D236" s="151"/>
      <c r="E236" s="151"/>
      <c r="F236" s="151"/>
      <c r="G236" s="152"/>
    </row>
    <row r="237" spans="1:7" ht="20.100000000000001" hidden="1" customHeight="1" outlineLevel="1">
      <c r="A237" s="200"/>
      <c r="B237" s="150"/>
      <c r="C237" s="150"/>
      <c r="D237" s="151"/>
      <c r="E237" s="151"/>
      <c r="F237" s="151"/>
      <c r="G237" s="152"/>
    </row>
    <row r="238" spans="1:7" ht="20.100000000000001" hidden="1" customHeight="1" outlineLevel="1">
      <c r="A238" s="200"/>
      <c r="B238" s="150"/>
      <c r="C238" s="150"/>
      <c r="D238" s="151"/>
      <c r="E238" s="151"/>
      <c r="F238" s="151"/>
      <c r="G238" s="152"/>
    </row>
    <row r="239" spans="1:7" ht="20.100000000000001" hidden="1" customHeight="1" outlineLevel="1">
      <c r="A239" s="200"/>
      <c r="B239" s="150"/>
      <c r="C239" s="150"/>
      <c r="D239" s="151"/>
      <c r="E239" s="151"/>
      <c r="F239" s="151"/>
      <c r="G239" s="152"/>
    </row>
    <row r="240" spans="1:7" ht="20.100000000000001" hidden="1" customHeight="1" outlineLevel="1">
      <c r="A240" s="199"/>
      <c r="B240" s="163"/>
      <c r="C240" s="163"/>
      <c r="D240" s="164"/>
      <c r="E240" s="164"/>
      <c r="F240" s="164"/>
      <c r="G240" s="165"/>
    </row>
    <row r="241" spans="1:7" ht="20.100000000000001" hidden="1" customHeight="1" outlineLevel="1" thickBot="1">
      <c r="A241" s="198"/>
      <c r="B241" s="157" t="s">
        <v>728</v>
      </c>
      <c r="C241" s="158"/>
      <c r="D241" s="159"/>
      <c r="E241" s="159"/>
      <c r="F241" s="159"/>
      <c r="G241" s="160">
        <f>SUM(G203:G240)</f>
        <v>3484098</v>
      </c>
    </row>
    <row r="242" spans="1:7" ht="20.100000000000001" customHeight="1" collapsed="1">
      <c r="A242" s="202" t="s">
        <v>297</v>
      </c>
      <c r="B242" s="166" t="s">
        <v>414</v>
      </c>
      <c r="C242" s="167"/>
      <c r="D242" s="168"/>
      <c r="E242" s="168"/>
      <c r="F242" s="168"/>
      <c r="G242" s="169"/>
    </row>
    <row r="243" spans="1:7" ht="20.100000000000001" customHeight="1">
      <c r="A243" s="200"/>
      <c r="B243" s="150"/>
      <c r="C243" s="150"/>
      <c r="D243" s="151"/>
      <c r="E243" s="151"/>
      <c r="F243" s="151"/>
      <c r="G243" s="152"/>
    </row>
    <row r="244" spans="1:7" ht="20.100000000000001" customHeight="1">
      <c r="A244" s="200" t="s">
        <v>873</v>
      </c>
      <c r="B244" s="123" t="s">
        <v>415</v>
      </c>
      <c r="C244" s="123" t="s">
        <v>157</v>
      </c>
      <c r="D244" s="124">
        <v>1</v>
      </c>
      <c r="E244" s="125" t="s">
        <v>163</v>
      </c>
      <c r="F244" s="126">
        <f>G281</f>
        <v>188000</v>
      </c>
      <c r="G244" s="127">
        <f>ROUNDDOWN(D244*F244,0)</f>
        <v>188000</v>
      </c>
    </row>
    <row r="245" spans="1:7" ht="20.100000000000001" customHeight="1">
      <c r="A245" s="200" t="s">
        <v>874</v>
      </c>
      <c r="B245" s="123" t="s">
        <v>431</v>
      </c>
      <c r="C245" s="123" t="s">
        <v>157</v>
      </c>
      <c r="D245" s="124">
        <v>1</v>
      </c>
      <c r="E245" s="125" t="s">
        <v>163</v>
      </c>
      <c r="F245" s="126">
        <f>G301</f>
        <v>289725</v>
      </c>
      <c r="G245" s="127">
        <f>ROUNDDOWN(D245*F245,0)</f>
        <v>289725</v>
      </c>
    </row>
    <row r="246" spans="1:7" ht="20.100000000000001" customHeight="1">
      <c r="A246" s="200" t="s">
        <v>875</v>
      </c>
      <c r="B246" s="123" t="s">
        <v>446</v>
      </c>
      <c r="C246" s="123" t="s">
        <v>447</v>
      </c>
      <c r="D246" s="124">
        <v>204.21</v>
      </c>
      <c r="E246" s="125" t="s">
        <v>176</v>
      </c>
      <c r="F246" s="162">
        <v>2100</v>
      </c>
      <c r="G246" s="127">
        <f>ROUNDDOWN(D246*F246,0)</f>
        <v>428841</v>
      </c>
    </row>
    <row r="247" spans="1:7" ht="20.100000000000001" customHeight="1">
      <c r="A247" s="200" t="s">
        <v>876</v>
      </c>
      <c r="B247" s="123" t="s">
        <v>451</v>
      </c>
      <c r="C247" s="123" t="s">
        <v>452</v>
      </c>
      <c r="D247" s="124">
        <v>59.41</v>
      </c>
      <c r="E247" s="125" t="s">
        <v>176</v>
      </c>
      <c r="F247" s="162">
        <v>5000</v>
      </c>
      <c r="G247" s="127">
        <f>ROUNDDOWN(D247*F247,0)</f>
        <v>297050</v>
      </c>
    </row>
    <row r="248" spans="1:7" ht="20.100000000000001" customHeight="1">
      <c r="A248" s="200" t="s">
        <v>877</v>
      </c>
      <c r="B248" s="123" t="s">
        <v>456</v>
      </c>
      <c r="C248" s="123" t="s">
        <v>457</v>
      </c>
      <c r="D248" s="124">
        <v>55.9</v>
      </c>
      <c r="E248" s="125" t="s">
        <v>176</v>
      </c>
      <c r="F248" s="162">
        <v>950</v>
      </c>
      <c r="G248" s="127">
        <f>ROUNDDOWN(D248*F248,0)</f>
        <v>53105</v>
      </c>
    </row>
    <row r="249" spans="1:7" ht="20.100000000000001" customHeight="1">
      <c r="A249" s="200"/>
      <c r="B249" s="150"/>
      <c r="C249" s="150"/>
      <c r="D249" s="151"/>
      <c r="E249" s="151"/>
      <c r="F249" s="151"/>
      <c r="G249" s="152"/>
    </row>
    <row r="250" spans="1:7" ht="20.100000000000001" customHeight="1">
      <c r="A250" s="200"/>
      <c r="B250" s="150"/>
      <c r="C250" s="150"/>
      <c r="D250" s="151"/>
      <c r="E250" s="151"/>
      <c r="F250" s="151"/>
      <c r="G250" s="152"/>
    </row>
    <row r="251" spans="1:7" ht="20.100000000000001" customHeight="1">
      <c r="A251" s="200"/>
      <c r="B251" s="150"/>
      <c r="C251" s="150"/>
      <c r="D251" s="151"/>
      <c r="E251" s="151"/>
      <c r="F251" s="151"/>
      <c r="G251" s="152"/>
    </row>
    <row r="252" spans="1:7" ht="20.100000000000001" customHeight="1">
      <c r="A252" s="200"/>
      <c r="B252" s="150"/>
      <c r="C252" s="150"/>
      <c r="D252" s="151"/>
      <c r="E252" s="151"/>
      <c r="F252" s="151"/>
      <c r="G252" s="152"/>
    </row>
    <row r="253" spans="1:7" ht="20.100000000000001" customHeight="1">
      <c r="A253" s="200"/>
      <c r="B253" s="150"/>
      <c r="C253" s="150"/>
      <c r="D253" s="151"/>
      <c r="E253" s="151"/>
      <c r="F253" s="151"/>
      <c r="G253" s="152"/>
    </row>
    <row r="254" spans="1:7" ht="20.100000000000001" customHeight="1">
      <c r="A254" s="200"/>
      <c r="B254" s="150"/>
      <c r="C254" s="150"/>
      <c r="D254" s="151"/>
      <c r="E254" s="151"/>
      <c r="F254" s="151"/>
      <c r="G254" s="152"/>
    </row>
    <row r="255" spans="1:7" ht="20.100000000000001" customHeight="1">
      <c r="A255" s="200"/>
      <c r="B255" s="150"/>
      <c r="C255" s="150"/>
      <c r="D255" s="151"/>
      <c r="E255" s="151"/>
      <c r="F255" s="151"/>
      <c r="G255" s="152"/>
    </row>
    <row r="256" spans="1:7" ht="20.100000000000001" customHeight="1">
      <c r="A256" s="200"/>
      <c r="B256" s="150"/>
      <c r="C256" s="150"/>
      <c r="D256" s="151"/>
      <c r="E256" s="151"/>
      <c r="F256" s="151"/>
      <c r="G256" s="152"/>
    </row>
    <row r="257" spans="1:7" ht="20.100000000000001" customHeight="1">
      <c r="A257" s="200"/>
      <c r="B257" s="150"/>
      <c r="C257" s="150"/>
      <c r="D257" s="151"/>
      <c r="E257" s="151"/>
      <c r="F257" s="151"/>
      <c r="G257" s="152"/>
    </row>
    <row r="258" spans="1:7" ht="20.100000000000001" customHeight="1">
      <c r="A258" s="200"/>
      <c r="B258" s="150"/>
      <c r="C258" s="150"/>
      <c r="D258" s="151"/>
      <c r="E258" s="151"/>
      <c r="F258" s="151"/>
      <c r="G258" s="152"/>
    </row>
    <row r="259" spans="1:7" ht="20.100000000000001" customHeight="1">
      <c r="A259" s="200"/>
      <c r="B259" s="150"/>
      <c r="C259" s="150"/>
      <c r="D259" s="151"/>
      <c r="E259" s="151"/>
      <c r="F259" s="151"/>
      <c r="G259" s="152"/>
    </row>
    <row r="260" spans="1:7" ht="20.100000000000001" customHeight="1">
      <c r="A260" s="199"/>
      <c r="B260" s="163"/>
      <c r="C260" s="163"/>
      <c r="D260" s="164"/>
      <c r="E260" s="164"/>
      <c r="F260" s="164"/>
      <c r="G260" s="165"/>
    </row>
    <row r="261" spans="1:7" ht="20.100000000000001" customHeight="1" thickBot="1">
      <c r="A261" s="198"/>
      <c r="B261" s="157" t="s">
        <v>728</v>
      </c>
      <c r="C261" s="158"/>
      <c r="D261" s="159"/>
      <c r="E261" s="159"/>
      <c r="F261" s="159"/>
      <c r="G261" s="160">
        <f>SUM(G243:G260)</f>
        <v>1256721</v>
      </c>
    </row>
    <row r="262" spans="1:7" ht="20.100000000000001" hidden="1" customHeight="1" outlineLevel="1">
      <c r="A262" s="202" t="s">
        <v>873</v>
      </c>
      <c r="B262" s="166" t="s">
        <v>415</v>
      </c>
      <c r="C262" s="167"/>
      <c r="D262" s="168"/>
      <c r="E262" s="168"/>
      <c r="F262" s="168"/>
      <c r="G262" s="169"/>
    </row>
    <row r="263" spans="1:7" ht="20.100000000000001" hidden="1" customHeight="1" outlineLevel="1">
      <c r="A263" s="200"/>
      <c r="B263" s="150"/>
      <c r="C263" s="150"/>
      <c r="D263" s="151"/>
      <c r="E263" s="151"/>
      <c r="F263" s="151"/>
      <c r="G263" s="152"/>
    </row>
    <row r="264" spans="1:7" ht="20.100000000000001" hidden="1" customHeight="1" outlineLevel="1">
      <c r="A264" s="200" t="s">
        <v>878</v>
      </c>
      <c r="B264" s="123" t="s">
        <v>416</v>
      </c>
      <c r="C264" s="123" t="s">
        <v>417</v>
      </c>
      <c r="D264" s="124">
        <v>13</v>
      </c>
      <c r="E264" s="125" t="s">
        <v>291</v>
      </c>
      <c r="F264" s="162">
        <v>4200</v>
      </c>
      <c r="G264" s="127">
        <f>ROUNDDOWN(D264*F264,0)</f>
        <v>54600</v>
      </c>
    </row>
    <row r="265" spans="1:7" ht="20.100000000000001" hidden="1" customHeight="1" outlineLevel="1">
      <c r="A265" s="200" t="s">
        <v>879</v>
      </c>
      <c r="B265" s="123" t="s">
        <v>420</v>
      </c>
      <c r="C265" s="123" t="s">
        <v>421</v>
      </c>
      <c r="D265" s="124">
        <v>19</v>
      </c>
      <c r="E265" s="125" t="s">
        <v>291</v>
      </c>
      <c r="F265" s="162">
        <v>3800</v>
      </c>
      <c r="G265" s="127">
        <f>ROUNDDOWN(D265*F265,0)</f>
        <v>72200</v>
      </c>
    </row>
    <row r="266" spans="1:7" ht="20.100000000000001" hidden="1" customHeight="1" outlineLevel="1">
      <c r="A266" s="200" t="s">
        <v>880</v>
      </c>
      <c r="B266" s="123" t="s">
        <v>424</v>
      </c>
      <c r="C266" s="123" t="s">
        <v>421</v>
      </c>
      <c r="D266" s="124">
        <v>4</v>
      </c>
      <c r="E266" s="125" t="s">
        <v>291</v>
      </c>
      <c r="F266" s="162">
        <v>3800</v>
      </c>
      <c r="G266" s="127">
        <f>ROUNDDOWN(D266*F266,0)</f>
        <v>15200</v>
      </c>
    </row>
    <row r="267" spans="1:7" ht="20.100000000000001" hidden="1" customHeight="1" outlineLevel="1">
      <c r="A267" s="200" t="s">
        <v>881</v>
      </c>
      <c r="B267" s="123" t="s">
        <v>427</v>
      </c>
      <c r="C267" s="123" t="s">
        <v>428</v>
      </c>
      <c r="D267" s="124">
        <v>10</v>
      </c>
      <c r="E267" s="125" t="s">
        <v>291</v>
      </c>
      <c r="F267" s="162">
        <v>4600</v>
      </c>
      <c r="G267" s="127">
        <f>ROUNDDOWN(D267*F267,0)</f>
        <v>46000</v>
      </c>
    </row>
    <row r="268" spans="1:7" ht="20.100000000000001" hidden="1" customHeight="1" outlineLevel="1">
      <c r="A268" s="200"/>
      <c r="B268" s="150"/>
      <c r="C268" s="150"/>
      <c r="D268" s="151"/>
      <c r="E268" s="151"/>
      <c r="F268" s="151"/>
      <c r="G268" s="152"/>
    </row>
    <row r="269" spans="1:7" ht="20.100000000000001" hidden="1" customHeight="1" outlineLevel="1">
      <c r="A269" s="200"/>
      <c r="B269" s="150"/>
      <c r="C269" s="150"/>
      <c r="D269" s="151"/>
      <c r="E269" s="151"/>
      <c r="F269" s="151"/>
      <c r="G269" s="152"/>
    </row>
    <row r="270" spans="1:7" ht="20.100000000000001" hidden="1" customHeight="1" outlineLevel="1">
      <c r="A270" s="200"/>
      <c r="B270" s="150"/>
      <c r="C270" s="150"/>
      <c r="D270" s="151"/>
      <c r="E270" s="151"/>
      <c r="F270" s="151"/>
      <c r="G270" s="152"/>
    </row>
    <row r="271" spans="1:7" ht="20.100000000000001" hidden="1" customHeight="1" outlineLevel="1">
      <c r="A271" s="200"/>
      <c r="B271" s="150"/>
      <c r="C271" s="150"/>
      <c r="D271" s="151"/>
      <c r="E271" s="151"/>
      <c r="F271" s="151"/>
      <c r="G271" s="152"/>
    </row>
    <row r="272" spans="1:7" ht="20.100000000000001" hidden="1" customHeight="1" outlineLevel="1">
      <c r="A272" s="200"/>
      <c r="B272" s="150"/>
      <c r="C272" s="150"/>
      <c r="D272" s="151"/>
      <c r="E272" s="151"/>
      <c r="F272" s="151"/>
      <c r="G272" s="152"/>
    </row>
    <row r="273" spans="1:7" ht="20.100000000000001" hidden="1" customHeight="1" outlineLevel="1">
      <c r="A273" s="200"/>
      <c r="B273" s="150"/>
      <c r="C273" s="150"/>
      <c r="D273" s="151"/>
      <c r="E273" s="151"/>
      <c r="F273" s="151"/>
      <c r="G273" s="152"/>
    </row>
    <row r="274" spans="1:7" ht="20.100000000000001" hidden="1" customHeight="1" outlineLevel="1">
      <c r="A274" s="200"/>
      <c r="B274" s="150"/>
      <c r="C274" s="150"/>
      <c r="D274" s="151"/>
      <c r="E274" s="151"/>
      <c r="F274" s="151"/>
      <c r="G274" s="152"/>
    </row>
    <row r="275" spans="1:7" ht="20.100000000000001" hidden="1" customHeight="1" outlineLevel="1">
      <c r="A275" s="200"/>
      <c r="B275" s="150"/>
      <c r="C275" s="150"/>
      <c r="D275" s="151"/>
      <c r="E275" s="151"/>
      <c r="F275" s="151"/>
      <c r="G275" s="152"/>
    </row>
    <row r="276" spans="1:7" ht="20.100000000000001" hidden="1" customHeight="1" outlineLevel="1">
      <c r="A276" s="200"/>
      <c r="B276" s="150"/>
      <c r="C276" s="150"/>
      <c r="D276" s="151"/>
      <c r="E276" s="151"/>
      <c r="F276" s="151"/>
      <c r="G276" s="152"/>
    </row>
    <row r="277" spans="1:7" ht="20.100000000000001" hidden="1" customHeight="1" outlineLevel="1">
      <c r="A277" s="200"/>
      <c r="B277" s="150"/>
      <c r="C277" s="150"/>
      <c r="D277" s="151"/>
      <c r="E277" s="151"/>
      <c r="F277" s="151"/>
      <c r="G277" s="152"/>
    </row>
    <row r="278" spans="1:7" ht="20.100000000000001" hidden="1" customHeight="1" outlineLevel="1">
      <c r="A278" s="200"/>
      <c r="B278" s="150"/>
      <c r="C278" s="150"/>
      <c r="D278" s="151"/>
      <c r="E278" s="151"/>
      <c r="F278" s="151"/>
      <c r="G278" s="152"/>
    </row>
    <row r="279" spans="1:7" ht="20.100000000000001" hidden="1" customHeight="1" outlineLevel="1">
      <c r="A279" s="200"/>
      <c r="B279" s="150"/>
      <c r="C279" s="150"/>
      <c r="D279" s="151"/>
      <c r="E279" s="151"/>
      <c r="F279" s="151"/>
      <c r="G279" s="152"/>
    </row>
    <row r="280" spans="1:7" ht="20.100000000000001" hidden="1" customHeight="1" outlineLevel="1">
      <c r="A280" s="199"/>
      <c r="B280" s="163"/>
      <c r="C280" s="163"/>
      <c r="D280" s="164"/>
      <c r="E280" s="164"/>
      <c r="F280" s="164"/>
      <c r="G280" s="165"/>
    </row>
    <row r="281" spans="1:7" ht="20.100000000000001" hidden="1" customHeight="1" outlineLevel="1" thickBot="1">
      <c r="A281" s="198"/>
      <c r="B281" s="157" t="s">
        <v>728</v>
      </c>
      <c r="C281" s="158"/>
      <c r="D281" s="159"/>
      <c r="E281" s="159"/>
      <c r="F281" s="159"/>
      <c r="G281" s="160">
        <f>SUM(G263:G280)</f>
        <v>188000</v>
      </c>
    </row>
    <row r="282" spans="1:7" ht="20.100000000000001" hidden="1" customHeight="1" outlineLevel="1">
      <c r="A282" s="202" t="s">
        <v>874</v>
      </c>
      <c r="B282" s="166" t="s">
        <v>431</v>
      </c>
      <c r="C282" s="167"/>
      <c r="D282" s="168"/>
      <c r="E282" s="168"/>
      <c r="F282" s="168"/>
      <c r="G282" s="169"/>
    </row>
    <row r="283" spans="1:7" ht="20.100000000000001" hidden="1" customHeight="1" outlineLevel="1">
      <c r="A283" s="200"/>
      <c r="B283" s="150"/>
      <c r="C283" s="150"/>
      <c r="D283" s="151"/>
      <c r="E283" s="151"/>
      <c r="F283" s="151"/>
      <c r="G283" s="152"/>
    </row>
    <row r="284" spans="1:7" ht="20.100000000000001" hidden="1" customHeight="1" outlineLevel="1">
      <c r="A284" s="200" t="s">
        <v>882</v>
      </c>
      <c r="B284" s="123" t="s">
        <v>432</v>
      </c>
      <c r="C284" s="123" t="s">
        <v>433</v>
      </c>
      <c r="D284" s="124">
        <v>2</v>
      </c>
      <c r="E284" s="125" t="s">
        <v>228</v>
      </c>
      <c r="F284" s="162">
        <v>32200</v>
      </c>
      <c r="G284" s="127">
        <f>ROUNDDOWN(D284*F284,0)</f>
        <v>64400</v>
      </c>
    </row>
    <row r="285" spans="1:7" ht="20.100000000000001" hidden="1" customHeight="1" outlineLevel="1">
      <c r="A285" s="200" t="s">
        <v>883</v>
      </c>
      <c r="B285" s="123" t="s">
        <v>436</v>
      </c>
      <c r="C285" s="123" t="s">
        <v>437</v>
      </c>
      <c r="D285" s="124">
        <v>3</v>
      </c>
      <c r="E285" s="125" t="s">
        <v>438</v>
      </c>
      <c r="F285" s="162">
        <v>20000</v>
      </c>
      <c r="G285" s="127">
        <f>ROUNDDOWN(D285*F285,0)</f>
        <v>60000</v>
      </c>
    </row>
    <row r="286" spans="1:7" ht="20.100000000000001" hidden="1" customHeight="1" outlineLevel="1">
      <c r="A286" s="200" t="s">
        <v>884</v>
      </c>
      <c r="B286" s="123" t="s">
        <v>441</v>
      </c>
      <c r="C286" s="123" t="s">
        <v>157</v>
      </c>
      <c r="D286" s="124">
        <v>59.42</v>
      </c>
      <c r="E286" s="125" t="s">
        <v>176</v>
      </c>
      <c r="F286" s="162">
        <v>720</v>
      </c>
      <c r="G286" s="127">
        <f>ROUNDDOWN(D286*F286,0)</f>
        <v>42782</v>
      </c>
    </row>
    <row r="287" spans="1:7" ht="20.100000000000001" hidden="1" customHeight="1" outlineLevel="1">
      <c r="A287" s="200" t="s">
        <v>885</v>
      </c>
      <c r="B287" s="123" t="s">
        <v>444</v>
      </c>
      <c r="C287" s="123" t="s">
        <v>157</v>
      </c>
      <c r="D287" s="124">
        <v>59.42</v>
      </c>
      <c r="E287" s="125" t="s">
        <v>176</v>
      </c>
      <c r="F287" s="162">
        <v>360</v>
      </c>
      <c r="G287" s="127">
        <f>ROUNDDOWN(D287*F287,0)</f>
        <v>21391</v>
      </c>
    </row>
    <row r="288" spans="1:7" ht="20.100000000000001" hidden="1" customHeight="1" outlineLevel="1">
      <c r="A288" s="200" t="s">
        <v>886</v>
      </c>
      <c r="B288" s="123" t="s">
        <v>445</v>
      </c>
      <c r="C288" s="123" t="s">
        <v>348</v>
      </c>
      <c r="D288" s="124">
        <v>34.880000000000003</v>
      </c>
      <c r="E288" s="125" t="s">
        <v>213</v>
      </c>
      <c r="F288" s="162">
        <v>2900</v>
      </c>
      <c r="G288" s="127">
        <f>ROUNDDOWN(D288*F288,0)</f>
        <v>101152</v>
      </c>
    </row>
    <row r="289" spans="1:7" ht="20.100000000000001" hidden="1" customHeight="1" outlineLevel="1">
      <c r="A289" s="200"/>
      <c r="B289" s="150"/>
      <c r="C289" s="150"/>
      <c r="D289" s="151"/>
      <c r="E289" s="151"/>
      <c r="F289" s="151"/>
      <c r="G289" s="152"/>
    </row>
    <row r="290" spans="1:7" ht="20.100000000000001" hidden="1" customHeight="1" outlineLevel="1">
      <c r="A290" s="200"/>
      <c r="B290" s="150"/>
      <c r="C290" s="150"/>
      <c r="D290" s="151"/>
      <c r="E290" s="151"/>
      <c r="F290" s="151"/>
      <c r="G290" s="152"/>
    </row>
    <row r="291" spans="1:7" ht="20.100000000000001" hidden="1" customHeight="1" outlineLevel="1">
      <c r="A291" s="200"/>
      <c r="B291" s="150"/>
      <c r="C291" s="150"/>
      <c r="D291" s="151"/>
      <c r="E291" s="151"/>
      <c r="F291" s="151"/>
      <c r="G291" s="152"/>
    </row>
    <row r="292" spans="1:7" ht="20.100000000000001" hidden="1" customHeight="1" outlineLevel="1">
      <c r="A292" s="200"/>
      <c r="B292" s="150"/>
      <c r="C292" s="150"/>
      <c r="D292" s="151"/>
      <c r="E292" s="151"/>
      <c r="F292" s="151"/>
      <c r="G292" s="152"/>
    </row>
    <row r="293" spans="1:7" ht="20.100000000000001" hidden="1" customHeight="1" outlineLevel="1">
      <c r="A293" s="200"/>
      <c r="B293" s="150"/>
      <c r="C293" s="150"/>
      <c r="D293" s="151"/>
      <c r="E293" s="151"/>
      <c r="F293" s="151"/>
      <c r="G293" s="152"/>
    </row>
    <row r="294" spans="1:7" ht="20.100000000000001" hidden="1" customHeight="1" outlineLevel="1">
      <c r="A294" s="200"/>
      <c r="B294" s="150"/>
      <c r="C294" s="150"/>
      <c r="D294" s="151"/>
      <c r="E294" s="151"/>
      <c r="F294" s="151"/>
      <c r="G294" s="152"/>
    </row>
    <row r="295" spans="1:7" ht="20.100000000000001" hidden="1" customHeight="1" outlineLevel="1">
      <c r="A295" s="200"/>
      <c r="B295" s="150"/>
      <c r="C295" s="150"/>
      <c r="D295" s="151"/>
      <c r="E295" s="151"/>
      <c r="F295" s="151"/>
      <c r="G295" s="152"/>
    </row>
    <row r="296" spans="1:7" ht="20.100000000000001" hidden="1" customHeight="1" outlineLevel="1">
      <c r="A296" s="200"/>
      <c r="B296" s="150"/>
      <c r="C296" s="150"/>
      <c r="D296" s="151"/>
      <c r="E296" s="151"/>
      <c r="F296" s="151"/>
      <c r="G296" s="152"/>
    </row>
    <row r="297" spans="1:7" ht="20.100000000000001" hidden="1" customHeight="1" outlineLevel="1">
      <c r="A297" s="200"/>
      <c r="B297" s="150"/>
      <c r="C297" s="150"/>
      <c r="D297" s="151"/>
      <c r="E297" s="151"/>
      <c r="F297" s="151"/>
      <c r="G297" s="152"/>
    </row>
    <row r="298" spans="1:7" ht="20.100000000000001" hidden="1" customHeight="1" outlineLevel="1">
      <c r="A298" s="200"/>
      <c r="B298" s="150"/>
      <c r="C298" s="150"/>
      <c r="D298" s="151"/>
      <c r="E298" s="151"/>
      <c r="F298" s="151"/>
      <c r="G298" s="152"/>
    </row>
    <row r="299" spans="1:7" ht="20.100000000000001" hidden="1" customHeight="1" outlineLevel="1">
      <c r="A299" s="200"/>
      <c r="B299" s="150"/>
      <c r="C299" s="150"/>
      <c r="D299" s="151"/>
      <c r="E299" s="151"/>
      <c r="F299" s="151"/>
      <c r="G299" s="152"/>
    </row>
    <row r="300" spans="1:7" ht="20.100000000000001" hidden="1" customHeight="1" outlineLevel="1">
      <c r="A300" s="199"/>
      <c r="B300" s="163"/>
      <c r="C300" s="163"/>
      <c r="D300" s="164"/>
      <c r="E300" s="164"/>
      <c r="F300" s="164"/>
      <c r="G300" s="165"/>
    </row>
    <row r="301" spans="1:7" ht="20.100000000000001" hidden="1" customHeight="1" outlineLevel="1" thickBot="1">
      <c r="A301" s="198"/>
      <c r="B301" s="157" t="s">
        <v>728</v>
      </c>
      <c r="C301" s="158"/>
      <c r="D301" s="159"/>
      <c r="E301" s="159"/>
      <c r="F301" s="159"/>
      <c r="G301" s="160">
        <f>SUM(G283:G300)</f>
        <v>289725</v>
      </c>
    </row>
    <row r="302" spans="1:7" ht="20.100000000000001" customHeight="1" collapsed="1">
      <c r="A302" s="202" t="s">
        <v>750</v>
      </c>
      <c r="B302" s="166" t="s">
        <v>460</v>
      </c>
      <c r="C302" s="167"/>
      <c r="D302" s="168"/>
      <c r="E302" s="168"/>
      <c r="F302" s="168"/>
      <c r="G302" s="169"/>
    </row>
    <row r="303" spans="1:7" ht="20.100000000000001" customHeight="1">
      <c r="A303" s="200"/>
      <c r="B303" s="150"/>
      <c r="C303" s="150"/>
      <c r="D303" s="151"/>
      <c r="E303" s="151"/>
      <c r="F303" s="151"/>
      <c r="G303" s="152"/>
    </row>
    <row r="304" spans="1:7" ht="20.100000000000001" customHeight="1">
      <c r="A304" s="200" t="s">
        <v>887</v>
      </c>
      <c r="B304" s="123" t="s">
        <v>461</v>
      </c>
      <c r="C304" s="123" t="s">
        <v>157</v>
      </c>
      <c r="D304" s="124">
        <v>96.01</v>
      </c>
      <c r="E304" s="125" t="s">
        <v>176</v>
      </c>
      <c r="F304" s="162">
        <v>500</v>
      </c>
      <c r="G304" s="127">
        <f>ROUNDDOWN(D304*F304,0)</f>
        <v>48005</v>
      </c>
    </row>
    <row r="305" spans="1:7" ht="20.100000000000001" customHeight="1">
      <c r="A305" s="200" t="s">
        <v>888</v>
      </c>
      <c r="B305" s="123" t="s">
        <v>462</v>
      </c>
      <c r="C305" s="123" t="s">
        <v>463</v>
      </c>
      <c r="D305" s="124">
        <v>96.01</v>
      </c>
      <c r="E305" s="125" t="s">
        <v>176</v>
      </c>
      <c r="F305" s="162">
        <v>7200</v>
      </c>
      <c r="G305" s="127">
        <f>ROUNDDOWN(D305*F305,0)</f>
        <v>691272</v>
      </c>
    </row>
    <row r="306" spans="1:7" ht="20.100000000000001" customHeight="1">
      <c r="A306" s="200"/>
      <c r="B306" s="150"/>
      <c r="C306" s="150"/>
      <c r="D306" s="151"/>
      <c r="E306" s="151"/>
      <c r="F306" s="151"/>
      <c r="G306" s="152"/>
    </row>
    <row r="307" spans="1:7" ht="20.100000000000001" customHeight="1">
      <c r="A307" s="200"/>
      <c r="B307" s="150"/>
      <c r="C307" s="150"/>
      <c r="D307" s="151"/>
      <c r="E307" s="151"/>
      <c r="F307" s="151"/>
      <c r="G307" s="152"/>
    </row>
    <row r="308" spans="1:7" ht="20.100000000000001" customHeight="1">
      <c r="A308" s="200"/>
      <c r="B308" s="150"/>
      <c r="C308" s="150"/>
      <c r="D308" s="151"/>
      <c r="E308" s="151"/>
      <c r="F308" s="151"/>
      <c r="G308" s="152"/>
    </row>
    <row r="309" spans="1:7" ht="20.100000000000001" customHeight="1">
      <c r="A309" s="200"/>
      <c r="B309" s="150"/>
      <c r="C309" s="150"/>
      <c r="D309" s="151"/>
      <c r="E309" s="151"/>
      <c r="F309" s="151"/>
      <c r="G309" s="152"/>
    </row>
    <row r="310" spans="1:7" ht="20.100000000000001" customHeight="1">
      <c r="A310" s="200"/>
      <c r="B310" s="150"/>
      <c r="C310" s="150"/>
      <c r="D310" s="151"/>
      <c r="E310" s="151"/>
      <c r="F310" s="151"/>
      <c r="G310" s="152"/>
    </row>
    <row r="311" spans="1:7" ht="20.100000000000001" customHeight="1">
      <c r="A311" s="200"/>
      <c r="B311" s="150"/>
      <c r="C311" s="150"/>
      <c r="D311" s="151"/>
      <c r="E311" s="151"/>
      <c r="F311" s="151"/>
      <c r="G311" s="152"/>
    </row>
    <row r="312" spans="1:7" ht="20.100000000000001" customHeight="1">
      <c r="A312" s="200"/>
      <c r="B312" s="150"/>
      <c r="C312" s="150"/>
      <c r="D312" s="151"/>
      <c r="E312" s="151"/>
      <c r="F312" s="151"/>
      <c r="G312" s="152"/>
    </row>
    <row r="313" spans="1:7" ht="20.100000000000001" customHeight="1">
      <c r="A313" s="200"/>
      <c r="B313" s="150"/>
      <c r="C313" s="150"/>
      <c r="D313" s="151"/>
      <c r="E313" s="151"/>
      <c r="F313" s="151"/>
      <c r="G313" s="152"/>
    </row>
    <row r="314" spans="1:7" ht="20.100000000000001" customHeight="1">
      <c r="A314" s="200"/>
      <c r="B314" s="150"/>
      <c r="C314" s="150"/>
      <c r="D314" s="151"/>
      <c r="E314" s="151"/>
      <c r="F314" s="151"/>
      <c r="G314" s="152"/>
    </row>
    <row r="315" spans="1:7" ht="20.100000000000001" customHeight="1">
      <c r="A315" s="200"/>
      <c r="B315" s="150"/>
      <c r="C315" s="150"/>
      <c r="D315" s="151"/>
      <c r="E315" s="151"/>
      <c r="F315" s="151"/>
      <c r="G315" s="152"/>
    </row>
    <row r="316" spans="1:7" ht="20.100000000000001" customHeight="1">
      <c r="A316" s="200"/>
      <c r="B316" s="150"/>
      <c r="C316" s="150"/>
      <c r="D316" s="151"/>
      <c r="E316" s="151"/>
      <c r="F316" s="151"/>
      <c r="G316" s="152"/>
    </row>
    <row r="317" spans="1:7" ht="20.100000000000001" customHeight="1">
      <c r="A317" s="200"/>
      <c r="B317" s="150"/>
      <c r="C317" s="150"/>
      <c r="D317" s="151"/>
      <c r="E317" s="151"/>
      <c r="F317" s="151"/>
      <c r="G317" s="152"/>
    </row>
    <row r="318" spans="1:7" ht="20.100000000000001" customHeight="1">
      <c r="A318" s="200"/>
      <c r="B318" s="150"/>
      <c r="C318" s="150"/>
      <c r="D318" s="151"/>
      <c r="E318" s="151"/>
      <c r="F318" s="151"/>
      <c r="G318" s="152"/>
    </row>
    <row r="319" spans="1:7" ht="20.100000000000001" customHeight="1">
      <c r="A319" s="200"/>
      <c r="B319" s="150"/>
      <c r="C319" s="150"/>
      <c r="D319" s="151"/>
      <c r="E319" s="151"/>
      <c r="F319" s="151"/>
      <c r="G319" s="152"/>
    </row>
    <row r="320" spans="1:7" ht="20.100000000000001" customHeight="1">
      <c r="A320" s="199"/>
      <c r="B320" s="163"/>
      <c r="C320" s="163"/>
      <c r="D320" s="164"/>
      <c r="E320" s="164"/>
      <c r="F320" s="164"/>
      <c r="G320" s="165"/>
    </row>
    <row r="321" spans="1:7" ht="20.100000000000001" customHeight="1" thickBot="1">
      <c r="A321" s="198"/>
      <c r="B321" s="157" t="s">
        <v>728</v>
      </c>
      <c r="C321" s="158"/>
      <c r="D321" s="159"/>
      <c r="E321" s="159"/>
      <c r="F321" s="159"/>
      <c r="G321" s="160">
        <f>SUM(G303:G320)</f>
        <v>739277</v>
      </c>
    </row>
    <row r="322" spans="1:7" ht="20.100000000000001" customHeight="1">
      <c r="A322" s="202" t="s">
        <v>751</v>
      </c>
      <c r="B322" s="166" t="s">
        <v>466</v>
      </c>
      <c r="C322" s="167"/>
      <c r="D322" s="168"/>
      <c r="E322" s="168"/>
      <c r="F322" s="168"/>
      <c r="G322" s="169"/>
    </row>
    <row r="323" spans="1:7" ht="20.100000000000001" customHeight="1">
      <c r="A323" s="200"/>
      <c r="B323" s="150"/>
      <c r="C323" s="150"/>
      <c r="D323" s="151"/>
      <c r="E323" s="151"/>
      <c r="F323" s="151"/>
      <c r="G323" s="152"/>
    </row>
    <row r="324" spans="1:7" ht="20.100000000000001" customHeight="1">
      <c r="A324" s="200" t="s">
        <v>889</v>
      </c>
      <c r="B324" s="123" t="s">
        <v>467</v>
      </c>
      <c r="C324" s="123" t="s">
        <v>468</v>
      </c>
      <c r="D324" s="124">
        <v>29.82</v>
      </c>
      <c r="E324" s="125" t="s">
        <v>203</v>
      </c>
      <c r="F324" s="162">
        <v>4000</v>
      </c>
      <c r="G324" s="127">
        <f>ROUNDDOWN(D324*F324,0)</f>
        <v>119280</v>
      </c>
    </row>
    <row r="325" spans="1:7" ht="20.100000000000001" customHeight="1">
      <c r="A325" s="200" t="s">
        <v>890</v>
      </c>
      <c r="B325" s="123" t="s">
        <v>471</v>
      </c>
      <c r="C325" s="123" t="s">
        <v>157</v>
      </c>
      <c r="D325" s="124">
        <v>5</v>
      </c>
      <c r="E325" s="125" t="s">
        <v>219</v>
      </c>
      <c r="F325" s="162">
        <v>2900</v>
      </c>
      <c r="G325" s="127">
        <f>ROUNDDOWN(D325*F325,0)</f>
        <v>14500</v>
      </c>
    </row>
    <row r="326" spans="1:7" ht="20.100000000000001" customHeight="1">
      <c r="A326" s="200" t="s">
        <v>891</v>
      </c>
      <c r="B326" s="123" t="s">
        <v>474</v>
      </c>
      <c r="C326" s="123" t="s">
        <v>475</v>
      </c>
      <c r="D326" s="124">
        <v>30</v>
      </c>
      <c r="E326" s="125" t="s">
        <v>203</v>
      </c>
      <c r="F326" s="162">
        <v>2300</v>
      </c>
      <c r="G326" s="127">
        <f>ROUNDDOWN(D326*F326,0)</f>
        <v>69000</v>
      </c>
    </row>
    <row r="327" spans="1:7" ht="20.100000000000001" customHeight="1">
      <c r="A327" s="200"/>
      <c r="B327" s="150"/>
      <c r="C327" s="150"/>
      <c r="D327" s="151"/>
      <c r="E327" s="151"/>
      <c r="F327" s="151"/>
      <c r="G327" s="152"/>
    </row>
    <row r="328" spans="1:7" ht="20.100000000000001" customHeight="1">
      <c r="A328" s="200"/>
      <c r="B328" s="150"/>
      <c r="C328" s="150"/>
      <c r="D328" s="151"/>
      <c r="E328" s="151"/>
      <c r="F328" s="151"/>
      <c r="G328" s="152"/>
    </row>
    <row r="329" spans="1:7" ht="20.100000000000001" customHeight="1">
      <c r="A329" s="200"/>
      <c r="B329" s="150"/>
      <c r="C329" s="150"/>
      <c r="D329" s="151"/>
      <c r="E329" s="151"/>
      <c r="F329" s="151"/>
      <c r="G329" s="152"/>
    </row>
    <row r="330" spans="1:7" ht="20.100000000000001" customHeight="1">
      <c r="A330" s="200"/>
      <c r="B330" s="150"/>
      <c r="C330" s="150"/>
      <c r="D330" s="151"/>
      <c r="E330" s="151"/>
      <c r="F330" s="151"/>
      <c r="G330" s="152"/>
    </row>
    <row r="331" spans="1:7" ht="20.100000000000001" customHeight="1">
      <c r="A331" s="200"/>
      <c r="B331" s="150"/>
      <c r="C331" s="150"/>
      <c r="D331" s="151"/>
      <c r="E331" s="151"/>
      <c r="F331" s="151"/>
      <c r="G331" s="152"/>
    </row>
    <row r="332" spans="1:7" ht="20.100000000000001" customHeight="1">
      <c r="A332" s="200"/>
      <c r="B332" s="150"/>
      <c r="C332" s="150"/>
      <c r="D332" s="151"/>
      <c r="E332" s="151"/>
      <c r="F332" s="151"/>
      <c r="G332" s="152"/>
    </row>
    <row r="333" spans="1:7" ht="20.100000000000001" customHeight="1">
      <c r="A333" s="200"/>
      <c r="B333" s="150"/>
      <c r="C333" s="150"/>
      <c r="D333" s="151"/>
      <c r="E333" s="151"/>
      <c r="F333" s="151"/>
      <c r="G333" s="152"/>
    </row>
    <row r="334" spans="1:7" ht="20.100000000000001" customHeight="1">
      <c r="A334" s="200"/>
      <c r="B334" s="150"/>
      <c r="C334" s="150"/>
      <c r="D334" s="151"/>
      <c r="E334" s="151"/>
      <c r="F334" s="151"/>
      <c r="G334" s="152"/>
    </row>
    <row r="335" spans="1:7" ht="20.100000000000001" customHeight="1">
      <c r="A335" s="200"/>
      <c r="B335" s="150"/>
      <c r="C335" s="150"/>
      <c r="D335" s="151"/>
      <c r="E335" s="151"/>
      <c r="F335" s="151"/>
      <c r="G335" s="152"/>
    </row>
    <row r="336" spans="1:7" ht="20.100000000000001" customHeight="1">
      <c r="A336" s="200"/>
      <c r="B336" s="150"/>
      <c r="C336" s="150"/>
      <c r="D336" s="151"/>
      <c r="E336" s="151"/>
      <c r="F336" s="151"/>
      <c r="G336" s="152"/>
    </row>
    <row r="337" spans="1:7" ht="20.100000000000001" customHeight="1">
      <c r="A337" s="200"/>
      <c r="B337" s="150"/>
      <c r="C337" s="150"/>
      <c r="D337" s="151"/>
      <c r="E337" s="151"/>
      <c r="F337" s="151"/>
      <c r="G337" s="152"/>
    </row>
    <row r="338" spans="1:7" ht="20.100000000000001" customHeight="1">
      <c r="A338" s="200"/>
      <c r="B338" s="150"/>
      <c r="C338" s="150"/>
      <c r="D338" s="151"/>
      <c r="E338" s="151"/>
      <c r="F338" s="151"/>
      <c r="G338" s="152"/>
    </row>
    <row r="339" spans="1:7" ht="20.100000000000001" customHeight="1">
      <c r="A339" s="200"/>
      <c r="B339" s="150"/>
      <c r="C339" s="150"/>
      <c r="D339" s="151"/>
      <c r="E339" s="151"/>
      <c r="F339" s="151"/>
      <c r="G339" s="152"/>
    </row>
    <row r="340" spans="1:7" ht="20.100000000000001" customHeight="1">
      <c r="A340" s="199"/>
      <c r="B340" s="163"/>
      <c r="C340" s="163"/>
      <c r="D340" s="164"/>
      <c r="E340" s="164"/>
      <c r="F340" s="164"/>
      <c r="G340" s="165"/>
    </row>
    <row r="341" spans="1:7" ht="20.100000000000001" customHeight="1" thickBot="1">
      <c r="A341" s="198"/>
      <c r="B341" s="157" t="s">
        <v>728</v>
      </c>
      <c r="C341" s="158"/>
      <c r="D341" s="159"/>
      <c r="E341" s="159"/>
      <c r="F341" s="159"/>
      <c r="G341" s="160">
        <f>SUM(G323:G340)</f>
        <v>202780</v>
      </c>
    </row>
    <row r="342" spans="1:7" ht="20.100000000000001" customHeight="1">
      <c r="A342" s="202" t="s">
        <v>752</v>
      </c>
      <c r="B342" s="166" t="s">
        <v>478</v>
      </c>
      <c r="C342" s="167"/>
      <c r="D342" s="168"/>
      <c r="E342" s="168"/>
      <c r="F342" s="168"/>
      <c r="G342" s="169"/>
    </row>
    <row r="343" spans="1:7" ht="20.100000000000001" customHeight="1">
      <c r="A343" s="200"/>
      <c r="B343" s="150"/>
      <c r="C343" s="150"/>
      <c r="D343" s="151"/>
      <c r="E343" s="151"/>
      <c r="F343" s="151"/>
      <c r="G343" s="152"/>
    </row>
    <row r="344" spans="1:7" ht="20.100000000000001" customHeight="1">
      <c r="A344" s="200" t="s">
        <v>892</v>
      </c>
      <c r="B344" s="123" t="s">
        <v>479</v>
      </c>
      <c r="C344" s="123" t="s">
        <v>480</v>
      </c>
      <c r="D344" s="124">
        <v>1</v>
      </c>
      <c r="E344" s="125" t="s">
        <v>257</v>
      </c>
      <c r="F344" s="126">
        <v>27900</v>
      </c>
      <c r="G344" s="127">
        <f t="shared" ref="G344:G353" si="6">ROUNDDOWN(D344*F344,0)</f>
        <v>27900</v>
      </c>
    </row>
    <row r="345" spans="1:7" ht="20.100000000000001" customHeight="1">
      <c r="A345" s="200" t="s">
        <v>893</v>
      </c>
      <c r="B345" s="123" t="s">
        <v>482</v>
      </c>
      <c r="C345" s="123" t="s">
        <v>480</v>
      </c>
      <c r="D345" s="124">
        <v>1</v>
      </c>
      <c r="E345" s="125" t="s">
        <v>257</v>
      </c>
      <c r="F345" s="126">
        <v>38200</v>
      </c>
      <c r="G345" s="127">
        <f t="shared" si="6"/>
        <v>38200</v>
      </c>
    </row>
    <row r="346" spans="1:7" ht="20.100000000000001" customHeight="1">
      <c r="A346" s="200" t="s">
        <v>894</v>
      </c>
      <c r="B346" s="123" t="s">
        <v>483</v>
      </c>
      <c r="C346" s="123" t="s">
        <v>480</v>
      </c>
      <c r="D346" s="124">
        <v>1</v>
      </c>
      <c r="E346" s="125" t="s">
        <v>257</v>
      </c>
      <c r="F346" s="126">
        <v>52200</v>
      </c>
      <c r="G346" s="127">
        <f t="shared" si="6"/>
        <v>52200</v>
      </c>
    </row>
    <row r="347" spans="1:7" ht="20.100000000000001" customHeight="1">
      <c r="A347" s="200" t="s">
        <v>895</v>
      </c>
      <c r="B347" s="123" t="s">
        <v>484</v>
      </c>
      <c r="C347" s="123" t="s">
        <v>480</v>
      </c>
      <c r="D347" s="124">
        <v>3</v>
      </c>
      <c r="E347" s="125" t="s">
        <v>257</v>
      </c>
      <c r="F347" s="162">
        <v>66000</v>
      </c>
      <c r="G347" s="127">
        <f t="shared" si="6"/>
        <v>198000</v>
      </c>
    </row>
    <row r="348" spans="1:7" ht="20.100000000000001" customHeight="1">
      <c r="A348" s="200" t="s">
        <v>896</v>
      </c>
      <c r="B348" s="123" t="s">
        <v>485</v>
      </c>
      <c r="C348" s="123" t="s">
        <v>480</v>
      </c>
      <c r="D348" s="124">
        <v>1</v>
      </c>
      <c r="E348" s="125" t="s">
        <v>257</v>
      </c>
      <c r="F348" s="126">
        <v>296000</v>
      </c>
      <c r="G348" s="127">
        <f t="shared" si="6"/>
        <v>296000</v>
      </c>
    </row>
    <row r="349" spans="1:7" ht="20.100000000000001" customHeight="1">
      <c r="A349" s="200" t="s">
        <v>897</v>
      </c>
      <c r="B349" s="123" t="s">
        <v>486</v>
      </c>
      <c r="C349" s="123" t="s">
        <v>487</v>
      </c>
      <c r="D349" s="124">
        <v>1</v>
      </c>
      <c r="E349" s="125" t="s">
        <v>163</v>
      </c>
      <c r="F349" s="126">
        <v>79800</v>
      </c>
      <c r="G349" s="127">
        <f t="shared" si="6"/>
        <v>79800</v>
      </c>
    </row>
    <row r="350" spans="1:7" ht="20.100000000000001" customHeight="1">
      <c r="A350" s="200" t="s">
        <v>898</v>
      </c>
      <c r="B350" s="123" t="s">
        <v>488</v>
      </c>
      <c r="C350" s="123" t="s">
        <v>489</v>
      </c>
      <c r="D350" s="124">
        <v>1</v>
      </c>
      <c r="E350" s="125" t="s">
        <v>257</v>
      </c>
      <c r="F350" s="126">
        <v>141300</v>
      </c>
      <c r="G350" s="127">
        <f t="shared" si="6"/>
        <v>141300</v>
      </c>
    </row>
    <row r="351" spans="1:7" ht="20.100000000000001" customHeight="1">
      <c r="A351" s="200" t="s">
        <v>899</v>
      </c>
      <c r="B351" s="123" t="s">
        <v>490</v>
      </c>
      <c r="C351" s="123" t="s">
        <v>491</v>
      </c>
      <c r="D351" s="124">
        <v>1</v>
      </c>
      <c r="E351" s="125" t="s">
        <v>257</v>
      </c>
      <c r="F351" s="126">
        <v>58900</v>
      </c>
      <c r="G351" s="127">
        <f t="shared" si="6"/>
        <v>58900</v>
      </c>
    </row>
    <row r="352" spans="1:7" ht="20.100000000000001" customHeight="1">
      <c r="A352" s="200" t="s">
        <v>900</v>
      </c>
      <c r="B352" s="123" t="s">
        <v>492</v>
      </c>
      <c r="C352" s="146" t="s">
        <v>998</v>
      </c>
      <c r="D352" s="124">
        <v>1</v>
      </c>
      <c r="E352" s="125" t="s">
        <v>163</v>
      </c>
      <c r="F352" s="126">
        <v>63900</v>
      </c>
      <c r="G352" s="127">
        <f t="shared" si="6"/>
        <v>63900</v>
      </c>
    </row>
    <row r="353" spans="1:7" ht="20.100000000000001" customHeight="1">
      <c r="A353" s="200" t="s">
        <v>901</v>
      </c>
      <c r="B353" s="123" t="s">
        <v>494</v>
      </c>
      <c r="C353" s="123" t="s">
        <v>480</v>
      </c>
      <c r="D353" s="124">
        <v>1</v>
      </c>
      <c r="E353" s="125" t="s">
        <v>257</v>
      </c>
      <c r="F353" s="126">
        <v>25600</v>
      </c>
      <c r="G353" s="127">
        <f t="shared" si="6"/>
        <v>25600</v>
      </c>
    </row>
    <row r="354" spans="1:7" ht="20.100000000000001" customHeight="1">
      <c r="A354" s="200"/>
      <c r="B354" s="150"/>
      <c r="C354" s="150"/>
      <c r="D354" s="151"/>
      <c r="E354" s="151"/>
      <c r="F354" s="151"/>
      <c r="G354" s="152"/>
    </row>
    <row r="355" spans="1:7" ht="20.100000000000001" customHeight="1">
      <c r="A355" s="200"/>
      <c r="B355" s="150"/>
      <c r="C355" s="150"/>
      <c r="D355" s="151"/>
      <c r="E355" s="151"/>
      <c r="F355" s="151"/>
      <c r="G355" s="152"/>
    </row>
    <row r="356" spans="1:7" ht="20.100000000000001" customHeight="1">
      <c r="A356" s="200"/>
      <c r="B356" s="150"/>
      <c r="C356" s="150"/>
      <c r="D356" s="151"/>
      <c r="E356" s="151"/>
      <c r="F356" s="151"/>
      <c r="G356" s="152"/>
    </row>
    <row r="357" spans="1:7" ht="20.100000000000001" customHeight="1">
      <c r="A357" s="200"/>
      <c r="B357" s="150"/>
      <c r="C357" s="150"/>
      <c r="D357" s="151"/>
      <c r="E357" s="151"/>
      <c r="F357" s="151"/>
      <c r="G357" s="152"/>
    </row>
    <row r="358" spans="1:7" ht="20.100000000000001" customHeight="1">
      <c r="A358" s="200"/>
      <c r="B358" s="150"/>
      <c r="C358" s="150"/>
      <c r="D358" s="151"/>
      <c r="E358" s="151"/>
      <c r="F358" s="151"/>
      <c r="G358" s="152"/>
    </row>
    <row r="359" spans="1:7" ht="20.100000000000001" customHeight="1">
      <c r="A359" s="200"/>
      <c r="B359" s="150"/>
      <c r="C359" s="150"/>
      <c r="D359" s="151"/>
      <c r="E359" s="151"/>
      <c r="F359" s="151"/>
      <c r="G359" s="152"/>
    </row>
    <row r="360" spans="1:7" ht="20.100000000000001" customHeight="1">
      <c r="A360" s="199"/>
      <c r="B360" s="163"/>
      <c r="C360" s="163"/>
      <c r="D360" s="164"/>
      <c r="E360" s="164"/>
      <c r="F360" s="164"/>
      <c r="G360" s="165"/>
    </row>
    <row r="361" spans="1:7" ht="20.100000000000001" customHeight="1" thickBot="1">
      <c r="A361" s="198"/>
      <c r="B361" s="157" t="s">
        <v>728</v>
      </c>
      <c r="C361" s="158"/>
      <c r="D361" s="159"/>
      <c r="E361" s="159"/>
      <c r="F361" s="159"/>
      <c r="G361" s="160">
        <f>SUM(G343:G360)</f>
        <v>981800</v>
      </c>
    </row>
    <row r="362" spans="1:7" ht="20.100000000000001" customHeight="1">
      <c r="A362" s="202" t="s">
        <v>753</v>
      </c>
      <c r="B362" s="166" t="s">
        <v>495</v>
      </c>
      <c r="C362" s="167"/>
      <c r="D362" s="168"/>
      <c r="E362" s="168"/>
      <c r="F362" s="168"/>
      <c r="G362" s="169"/>
    </row>
    <row r="363" spans="1:7" ht="20.100000000000001" customHeight="1">
      <c r="A363" s="200"/>
      <c r="B363" s="150"/>
      <c r="C363" s="150"/>
      <c r="D363" s="151"/>
      <c r="E363" s="151"/>
      <c r="F363" s="151"/>
      <c r="G363" s="152"/>
    </row>
    <row r="364" spans="1:7" ht="20.100000000000001" customHeight="1">
      <c r="A364" s="200" t="s">
        <v>902</v>
      </c>
      <c r="B364" s="123" t="s">
        <v>496</v>
      </c>
      <c r="C364" s="123" t="s">
        <v>337</v>
      </c>
      <c r="D364" s="124">
        <v>1</v>
      </c>
      <c r="E364" s="125" t="s">
        <v>219</v>
      </c>
      <c r="F364" s="126">
        <v>118400</v>
      </c>
      <c r="G364" s="127">
        <f t="shared" ref="G364:G379" si="7">ROUNDDOWN(D364*F364,0)</f>
        <v>118400</v>
      </c>
    </row>
    <row r="365" spans="1:7" ht="20.100000000000001" customHeight="1">
      <c r="A365" s="200" t="s">
        <v>903</v>
      </c>
      <c r="B365" s="123" t="s">
        <v>497</v>
      </c>
      <c r="C365" s="123" t="s">
        <v>337</v>
      </c>
      <c r="D365" s="124">
        <v>1</v>
      </c>
      <c r="E365" s="125" t="s">
        <v>219</v>
      </c>
      <c r="F365" s="126">
        <v>68600</v>
      </c>
      <c r="G365" s="127">
        <f t="shared" si="7"/>
        <v>68600</v>
      </c>
    </row>
    <row r="366" spans="1:7" ht="20.100000000000001" customHeight="1">
      <c r="A366" s="200" t="s">
        <v>904</v>
      </c>
      <c r="B366" s="123" t="s">
        <v>498</v>
      </c>
      <c r="C366" s="123" t="s">
        <v>337</v>
      </c>
      <c r="D366" s="124">
        <v>1</v>
      </c>
      <c r="E366" s="125" t="s">
        <v>219</v>
      </c>
      <c r="F366" s="126">
        <v>77500</v>
      </c>
      <c r="G366" s="127">
        <f t="shared" si="7"/>
        <v>77500</v>
      </c>
    </row>
    <row r="367" spans="1:7" ht="20.100000000000001" customHeight="1">
      <c r="A367" s="200" t="s">
        <v>905</v>
      </c>
      <c r="B367" s="123" t="s">
        <v>499</v>
      </c>
      <c r="C367" s="123" t="s">
        <v>500</v>
      </c>
      <c r="D367" s="124">
        <v>3</v>
      </c>
      <c r="E367" s="125" t="s">
        <v>257</v>
      </c>
      <c r="F367" s="162">
        <v>27000</v>
      </c>
      <c r="G367" s="127">
        <f t="shared" si="7"/>
        <v>81000</v>
      </c>
    </row>
    <row r="368" spans="1:7" ht="20.100000000000001" customHeight="1">
      <c r="A368" s="200" t="s">
        <v>906</v>
      </c>
      <c r="B368" s="123" t="s">
        <v>501</v>
      </c>
      <c r="C368" s="123" t="s">
        <v>500</v>
      </c>
      <c r="D368" s="124">
        <v>1</v>
      </c>
      <c r="E368" s="125" t="s">
        <v>257</v>
      </c>
      <c r="F368" s="126">
        <v>43600</v>
      </c>
      <c r="G368" s="127">
        <f t="shared" si="7"/>
        <v>43600</v>
      </c>
    </row>
    <row r="369" spans="1:7" ht="20.100000000000001" customHeight="1">
      <c r="A369" s="200" t="s">
        <v>907</v>
      </c>
      <c r="B369" s="123" t="s">
        <v>502</v>
      </c>
      <c r="C369" s="123" t="s">
        <v>500</v>
      </c>
      <c r="D369" s="124">
        <v>1</v>
      </c>
      <c r="E369" s="125" t="s">
        <v>257</v>
      </c>
      <c r="F369" s="126">
        <v>32500</v>
      </c>
      <c r="G369" s="127">
        <f t="shared" si="7"/>
        <v>32500</v>
      </c>
    </row>
    <row r="370" spans="1:7" ht="20.100000000000001" customHeight="1">
      <c r="A370" s="200" t="s">
        <v>908</v>
      </c>
      <c r="B370" s="123" t="s">
        <v>503</v>
      </c>
      <c r="C370" s="123" t="s">
        <v>500</v>
      </c>
      <c r="D370" s="124">
        <v>1</v>
      </c>
      <c r="E370" s="125" t="s">
        <v>257</v>
      </c>
      <c r="F370" s="126">
        <v>24900</v>
      </c>
      <c r="G370" s="127">
        <f t="shared" si="7"/>
        <v>24900</v>
      </c>
    </row>
    <row r="371" spans="1:7" ht="20.100000000000001" customHeight="1">
      <c r="A371" s="200" t="s">
        <v>909</v>
      </c>
      <c r="B371" s="123" t="s">
        <v>504</v>
      </c>
      <c r="C371" s="123" t="s">
        <v>505</v>
      </c>
      <c r="D371" s="124">
        <v>1</v>
      </c>
      <c r="E371" s="125" t="s">
        <v>257</v>
      </c>
      <c r="F371" s="126">
        <v>97800</v>
      </c>
      <c r="G371" s="127">
        <f t="shared" si="7"/>
        <v>97800</v>
      </c>
    </row>
    <row r="372" spans="1:7" ht="20.100000000000001" customHeight="1">
      <c r="A372" s="200" t="s">
        <v>910</v>
      </c>
      <c r="B372" s="123" t="s">
        <v>506</v>
      </c>
      <c r="C372" s="123" t="s">
        <v>505</v>
      </c>
      <c r="D372" s="124">
        <v>1</v>
      </c>
      <c r="E372" s="125" t="s">
        <v>257</v>
      </c>
      <c r="F372" s="126">
        <v>76900</v>
      </c>
      <c r="G372" s="127">
        <f t="shared" si="7"/>
        <v>76900</v>
      </c>
    </row>
    <row r="373" spans="1:7" ht="20.100000000000001" customHeight="1">
      <c r="A373" s="200" t="s">
        <v>911</v>
      </c>
      <c r="B373" s="123" t="s">
        <v>507</v>
      </c>
      <c r="C373" s="123" t="s">
        <v>505</v>
      </c>
      <c r="D373" s="124">
        <v>1</v>
      </c>
      <c r="E373" s="125" t="s">
        <v>257</v>
      </c>
      <c r="F373" s="126">
        <v>80200</v>
      </c>
      <c r="G373" s="127">
        <f t="shared" si="7"/>
        <v>80200</v>
      </c>
    </row>
    <row r="374" spans="1:7" ht="20.100000000000001" customHeight="1">
      <c r="A374" s="200" t="s">
        <v>912</v>
      </c>
      <c r="B374" s="123" t="s">
        <v>508</v>
      </c>
      <c r="C374" s="123" t="s">
        <v>505</v>
      </c>
      <c r="D374" s="124">
        <v>1</v>
      </c>
      <c r="E374" s="125" t="s">
        <v>257</v>
      </c>
      <c r="F374" s="126">
        <v>84500</v>
      </c>
      <c r="G374" s="127">
        <f t="shared" si="7"/>
        <v>84500</v>
      </c>
    </row>
    <row r="375" spans="1:7" ht="20.100000000000001" customHeight="1">
      <c r="A375" s="200" t="s">
        <v>913</v>
      </c>
      <c r="B375" s="123" t="s">
        <v>509</v>
      </c>
      <c r="C375" s="123" t="s">
        <v>505</v>
      </c>
      <c r="D375" s="124">
        <v>1</v>
      </c>
      <c r="E375" s="125" t="s">
        <v>257</v>
      </c>
      <c r="F375" s="126">
        <v>53900</v>
      </c>
      <c r="G375" s="127">
        <f t="shared" si="7"/>
        <v>53900</v>
      </c>
    </row>
    <row r="376" spans="1:7" ht="20.100000000000001" customHeight="1">
      <c r="A376" s="200" t="s">
        <v>914</v>
      </c>
      <c r="B376" s="123" t="s">
        <v>510</v>
      </c>
      <c r="C376" s="123" t="s">
        <v>511</v>
      </c>
      <c r="D376" s="124">
        <v>1</v>
      </c>
      <c r="E376" s="125" t="s">
        <v>219</v>
      </c>
      <c r="F376" s="126">
        <v>53100</v>
      </c>
      <c r="G376" s="127">
        <f t="shared" si="7"/>
        <v>53100</v>
      </c>
    </row>
    <row r="377" spans="1:7" ht="20.100000000000001" customHeight="1">
      <c r="A377" s="200" t="s">
        <v>915</v>
      </c>
      <c r="B377" s="123" t="s">
        <v>512</v>
      </c>
      <c r="C377" s="123" t="s">
        <v>513</v>
      </c>
      <c r="D377" s="124">
        <v>1</v>
      </c>
      <c r="E377" s="125" t="s">
        <v>219</v>
      </c>
      <c r="F377" s="126">
        <v>119800</v>
      </c>
      <c r="G377" s="127">
        <f t="shared" si="7"/>
        <v>119800</v>
      </c>
    </row>
    <row r="378" spans="1:7" ht="20.100000000000001" customHeight="1">
      <c r="A378" s="200" t="s">
        <v>916</v>
      </c>
      <c r="B378" s="123" t="s">
        <v>514</v>
      </c>
      <c r="C378" s="123" t="s">
        <v>515</v>
      </c>
      <c r="D378" s="124">
        <v>2</v>
      </c>
      <c r="E378" s="125" t="s">
        <v>291</v>
      </c>
      <c r="F378" s="162">
        <v>38000</v>
      </c>
      <c r="G378" s="127">
        <f t="shared" si="7"/>
        <v>76000</v>
      </c>
    </row>
    <row r="379" spans="1:7" ht="20.100000000000001" customHeight="1">
      <c r="A379" s="200" t="s">
        <v>917</v>
      </c>
      <c r="B379" s="123" t="s">
        <v>516</v>
      </c>
      <c r="C379" s="123" t="s">
        <v>515</v>
      </c>
      <c r="D379" s="124">
        <v>2</v>
      </c>
      <c r="E379" s="125" t="s">
        <v>291</v>
      </c>
      <c r="F379" s="162">
        <v>22500</v>
      </c>
      <c r="G379" s="127">
        <f t="shared" si="7"/>
        <v>45000</v>
      </c>
    </row>
    <row r="380" spans="1:7" ht="20.100000000000001" customHeight="1">
      <c r="A380" s="199"/>
      <c r="B380" s="163"/>
      <c r="C380" s="163"/>
      <c r="D380" s="164"/>
      <c r="E380" s="164"/>
      <c r="F380" s="164"/>
      <c r="G380" s="165"/>
    </row>
    <row r="381" spans="1:7" ht="20.100000000000001" customHeight="1" thickBot="1">
      <c r="A381" s="198"/>
      <c r="B381" s="157" t="s">
        <v>728</v>
      </c>
      <c r="C381" s="158"/>
      <c r="D381" s="159"/>
      <c r="E381" s="159"/>
      <c r="F381" s="159"/>
      <c r="G381" s="160">
        <f>SUM(G363:G380)</f>
        <v>1133700</v>
      </c>
    </row>
    <row r="382" spans="1:7" ht="20.100000000000001" customHeight="1">
      <c r="A382" s="202" t="s">
        <v>754</v>
      </c>
      <c r="B382" s="166" t="s">
        <v>517</v>
      </c>
      <c r="C382" s="167"/>
      <c r="D382" s="168"/>
      <c r="E382" s="168"/>
      <c r="F382" s="168"/>
      <c r="G382" s="169"/>
    </row>
    <row r="383" spans="1:7" ht="20.100000000000001" customHeight="1">
      <c r="A383" s="200"/>
      <c r="B383" s="150"/>
      <c r="C383" s="150"/>
      <c r="D383" s="151"/>
      <c r="E383" s="151"/>
      <c r="F383" s="151"/>
      <c r="G383" s="152"/>
    </row>
    <row r="384" spans="1:7" ht="20.100000000000001" customHeight="1">
      <c r="A384" s="200" t="s">
        <v>918</v>
      </c>
      <c r="B384" s="123" t="s">
        <v>518</v>
      </c>
      <c r="C384" s="123" t="s">
        <v>519</v>
      </c>
      <c r="D384" s="124">
        <v>39.630000000000003</v>
      </c>
      <c r="E384" s="125" t="s">
        <v>203</v>
      </c>
      <c r="F384" s="162">
        <v>4900</v>
      </c>
      <c r="G384" s="127">
        <f t="shared" ref="G384:G389" si="8">ROUNDDOWN(D384*F384,0)</f>
        <v>194187</v>
      </c>
    </row>
    <row r="385" spans="1:7" ht="20.100000000000001" customHeight="1">
      <c r="A385" s="200" t="s">
        <v>919</v>
      </c>
      <c r="B385" s="123" t="s">
        <v>523</v>
      </c>
      <c r="C385" s="123" t="s">
        <v>524</v>
      </c>
      <c r="D385" s="124">
        <v>55.61</v>
      </c>
      <c r="E385" s="125" t="s">
        <v>203</v>
      </c>
      <c r="F385" s="162">
        <v>4300</v>
      </c>
      <c r="G385" s="127">
        <f t="shared" si="8"/>
        <v>239123</v>
      </c>
    </row>
    <row r="386" spans="1:7" ht="20.100000000000001" customHeight="1">
      <c r="A386" s="200" t="s">
        <v>920</v>
      </c>
      <c r="B386" s="123" t="s">
        <v>528</v>
      </c>
      <c r="C386" s="123" t="s">
        <v>157</v>
      </c>
      <c r="D386" s="124">
        <v>193.53</v>
      </c>
      <c r="E386" s="125" t="s">
        <v>176</v>
      </c>
      <c r="F386" s="162">
        <v>360</v>
      </c>
      <c r="G386" s="127">
        <f t="shared" si="8"/>
        <v>69670</v>
      </c>
    </row>
    <row r="387" spans="1:7" ht="20.100000000000001" customHeight="1">
      <c r="A387" s="200" t="s">
        <v>921</v>
      </c>
      <c r="B387" s="123" t="s">
        <v>531</v>
      </c>
      <c r="C387" s="123" t="s">
        <v>532</v>
      </c>
      <c r="D387" s="124">
        <v>193.53</v>
      </c>
      <c r="E387" s="125" t="s">
        <v>176</v>
      </c>
      <c r="F387" s="162">
        <v>7500</v>
      </c>
      <c r="G387" s="127">
        <f t="shared" si="8"/>
        <v>1451475</v>
      </c>
    </row>
    <row r="388" spans="1:7" ht="20.100000000000001" customHeight="1">
      <c r="A388" s="200" t="s">
        <v>922</v>
      </c>
      <c r="B388" s="123" t="s">
        <v>535</v>
      </c>
      <c r="C388" s="123" t="s">
        <v>536</v>
      </c>
      <c r="D388" s="124">
        <v>31.01</v>
      </c>
      <c r="E388" s="125" t="s">
        <v>176</v>
      </c>
      <c r="F388" s="162">
        <v>3600</v>
      </c>
      <c r="G388" s="127">
        <f t="shared" si="8"/>
        <v>111636</v>
      </c>
    </row>
    <row r="389" spans="1:7" ht="20.100000000000001" customHeight="1">
      <c r="A389" s="200" t="s">
        <v>923</v>
      </c>
      <c r="B389" s="123" t="s">
        <v>539</v>
      </c>
      <c r="C389" s="123" t="s">
        <v>540</v>
      </c>
      <c r="D389" s="124">
        <v>4.55</v>
      </c>
      <c r="E389" s="125" t="s">
        <v>203</v>
      </c>
      <c r="F389" s="162">
        <v>4800</v>
      </c>
      <c r="G389" s="127">
        <f t="shared" si="8"/>
        <v>21840</v>
      </c>
    </row>
    <row r="390" spans="1:7" ht="20.100000000000001" customHeight="1">
      <c r="A390" s="200"/>
      <c r="B390" s="150"/>
      <c r="C390" s="150"/>
      <c r="D390" s="151"/>
      <c r="E390" s="151"/>
      <c r="F390" s="151"/>
      <c r="G390" s="152"/>
    </row>
    <row r="391" spans="1:7" ht="20.100000000000001" customHeight="1">
      <c r="A391" s="200"/>
      <c r="B391" s="150"/>
      <c r="C391" s="150"/>
      <c r="D391" s="151"/>
      <c r="E391" s="151"/>
      <c r="F391" s="151"/>
      <c r="G391" s="152"/>
    </row>
    <row r="392" spans="1:7" ht="20.100000000000001" customHeight="1">
      <c r="A392" s="200"/>
      <c r="B392" s="150"/>
      <c r="C392" s="150"/>
      <c r="D392" s="151"/>
      <c r="E392" s="151"/>
      <c r="F392" s="151"/>
      <c r="G392" s="152"/>
    </row>
    <row r="393" spans="1:7" ht="20.100000000000001" customHeight="1">
      <c r="A393" s="200"/>
      <c r="B393" s="150"/>
      <c r="C393" s="150"/>
      <c r="D393" s="151"/>
      <c r="E393" s="151"/>
      <c r="F393" s="151"/>
      <c r="G393" s="152"/>
    </row>
    <row r="394" spans="1:7" ht="20.100000000000001" customHeight="1">
      <c r="A394" s="200"/>
      <c r="B394" s="150"/>
      <c r="C394" s="150"/>
      <c r="D394" s="151"/>
      <c r="E394" s="151"/>
      <c r="F394" s="151"/>
      <c r="G394" s="152"/>
    </row>
    <row r="395" spans="1:7" ht="20.100000000000001" customHeight="1">
      <c r="A395" s="200"/>
      <c r="B395" s="150"/>
      <c r="C395" s="150"/>
      <c r="D395" s="151"/>
      <c r="E395" s="151"/>
      <c r="F395" s="151"/>
      <c r="G395" s="152"/>
    </row>
    <row r="396" spans="1:7" ht="20.100000000000001" customHeight="1">
      <c r="A396" s="200"/>
      <c r="B396" s="150"/>
      <c r="C396" s="150"/>
      <c r="D396" s="151"/>
      <c r="E396" s="151"/>
      <c r="F396" s="151"/>
      <c r="G396" s="152"/>
    </row>
    <row r="397" spans="1:7" ht="20.100000000000001" customHeight="1">
      <c r="A397" s="200"/>
      <c r="B397" s="150"/>
      <c r="C397" s="150"/>
      <c r="D397" s="151"/>
      <c r="E397" s="151"/>
      <c r="F397" s="151"/>
      <c r="G397" s="152"/>
    </row>
    <row r="398" spans="1:7" ht="20.100000000000001" customHeight="1">
      <c r="A398" s="200"/>
      <c r="B398" s="150"/>
      <c r="C398" s="150"/>
      <c r="D398" s="151"/>
      <c r="E398" s="151"/>
      <c r="F398" s="151"/>
      <c r="G398" s="152"/>
    </row>
    <row r="399" spans="1:7" ht="20.100000000000001" customHeight="1">
      <c r="A399" s="200"/>
      <c r="B399" s="150"/>
      <c r="C399" s="150"/>
      <c r="D399" s="151"/>
      <c r="E399" s="151"/>
      <c r="F399" s="151"/>
      <c r="G399" s="152"/>
    </row>
    <row r="400" spans="1:7" ht="20.100000000000001" customHeight="1">
      <c r="A400" s="199"/>
      <c r="B400" s="163"/>
      <c r="C400" s="163"/>
      <c r="D400" s="164"/>
      <c r="E400" s="164"/>
      <c r="F400" s="164"/>
      <c r="G400" s="165"/>
    </row>
    <row r="401" spans="1:7" ht="20.100000000000001" customHeight="1" thickBot="1">
      <c r="A401" s="198"/>
      <c r="B401" s="157" t="s">
        <v>728</v>
      </c>
      <c r="C401" s="158"/>
      <c r="D401" s="159"/>
      <c r="E401" s="159"/>
      <c r="F401" s="159"/>
      <c r="G401" s="160">
        <f>SUM(G383:G400)</f>
        <v>2087931</v>
      </c>
    </row>
    <row r="402" spans="1:7" ht="20.100000000000001" customHeight="1">
      <c r="A402" s="202" t="s">
        <v>755</v>
      </c>
      <c r="B402" s="166" t="s">
        <v>541</v>
      </c>
      <c r="C402" s="167"/>
      <c r="D402" s="168"/>
      <c r="E402" s="168"/>
      <c r="F402" s="168"/>
      <c r="G402" s="169"/>
    </row>
    <row r="403" spans="1:7" ht="20.100000000000001" customHeight="1">
      <c r="A403" s="200"/>
      <c r="B403" s="150"/>
      <c r="C403" s="150"/>
      <c r="D403" s="151"/>
      <c r="E403" s="151"/>
      <c r="F403" s="151"/>
      <c r="G403" s="152"/>
    </row>
    <row r="404" spans="1:7" ht="20.100000000000001" customHeight="1">
      <c r="A404" s="200" t="s">
        <v>924</v>
      </c>
      <c r="B404" s="123" t="s">
        <v>542</v>
      </c>
      <c r="C404" s="123" t="s">
        <v>157</v>
      </c>
      <c r="D404" s="124">
        <v>1</v>
      </c>
      <c r="E404" s="125" t="s">
        <v>163</v>
      </c>
      <c r="F404" s="126">
        <f>G441</f>
        <v>204156</v>
      </c>
      <c r="G404" s="127">
        <f>ROUNDDOWN(D404*F404,0)</f>
        <v>204156</v>
      </c>
    </row>
    <row r="405" spans="1:7" ht="20.100000000000001" customHeight="1">
      <c r="A405" s="200" t="s">
        <v>925</v>
      </c>
      <c r="B405" s="123" t="s">
        <v>557</v>
      </c>
      <c r="C405" s="123" t="s">
        <v>558</v>
      </c>
      <c r="D405" s="124">
        <v>1</v>
      </c>
      <c r="E405" s="125" t="s">
        <v>163</v>
      </c>
      <c r="F405" s="126">
        <v>50000</v>
      </c>
      <c r="G405" s="127">
        <f>ROUNDDOWN(D405*F405,0)</f>
        <v>50000</v>
      </c>
    </row>
    <row r="406" spans="1:7" ht="20.100000000000001" customHeight="1">
      <c r="A406" s="200"/>
      <c r="B406" s="150"/>
      <c r="C406" s="150"/>
      <c r="D406" s="151"/>
      <c r="E406" s="151"/>
      <c r="F406" s="151"/>
      <c r="G406" s="152"/>
    </row>
    <row r="407" spans="1:7" ht="20.100000000000001" customHeight="1">
      <c r="A407" s="200"/>
      <c r="B407" s="150"/>
      <c r="C407" s="150"/>
      <c r="D407" s="151"/>
      <c r="E407" s="151"/>
      <c r="F407" s="151"/>
      <c r="G407" s="152"/>
    </row>
    <row r="408" spans="1:7" ht="20.100000000000001" customHeight="1">
      <c r="A408" s="200"/>
      <c r="B408" s="150"/>
      <c r="C408" s="150"/>
      <c r="D408" s="151"/>
      <c r="E408" s="151"/>
      <c r="F408" s="151"/>
      <c r="G408" s="152"/>
    </row>
    <row r="409" spans="1:7" ht="20.100000000000001" customHeight="1">
      <c r="A409" s="200"/>
      <c r="B409" s="150"/>
      <c r="C409" s="150"/>
      <c r="D409" s="151"/>
      <c r="E409" s="151"/>
      <c r="F409" s="151"/>
      <c r="G409" s="152"/>
    </row>
    <row r="410" spans="1:7" ht="20.100000000000001" customHeight="1">
      <c r="A410" s="200"/>
      <c r="B410" s="150"/>
      <c r="C410" s="150"/>
      <c r="D410" s="151"/>
      <c r="E410" s="151"/>
      <c r="F410" s="151"/>
      <c r="G410" s="152"/>
    </row>
    <row r="411" spans="1:7" ht="20.100000000000001" customHeight="1">
      <c r="A411" s="200"/>
      <c r="B411" s="150"/>
      <c r="C411" s="150"/>
      <c r="D411" s="151"/>
      <c r="E411" s="151"/>
      <c r="F411" s="151"/>
      <c r="G411" s="152"/>
    </row>
    <row r="412" spans="1:7" ht="20.100000000000001" customHeight="1">
      <c r="A412" s="200"/>
      <c r="B412" s="150"/>
      <c r="C412" s="150"/>
      <c r="D412" s="151"/>
      <c r="E412" s="151"/>
      <c r="F412" s="151"/>
      <c r="G412" s="152"/>
    </row>
    <row r="413" spans="1:7" ht="20.100000000000001" customHeight="1">
      <c r="A413" s="200"/>
      <c r="B413" s="150"/>
      <c r="C413" s="150"/>
      <c r="D413" s="151"/>
      <c r="E413" s="151"/>
      <c r="F413" s="151"/>
      <c r="G413" s="152"/>
    </row>
    <row r="414" spans="1:7" ht="20.100000000000001" customHeight="1">
      <c r="A414" s="200"/>
      <c r="B414" s="150"/>
      <c r="C414" s="150"/>
      <c r="D414" s="151"/>
      <c r="E414" s="151"/>
      <c r="F414" s="151"/>
      <c r="G414" s="152"/>
    </row>
    <row r="415" spans="1:7" ht="20.100000000000001" customHeight="1">
      <c r="A415" s="200"/>
      <c r="B415" s="150"/>
      <c r="C415" s="150"/>
      <c r="D415" s="151"/>
      <c r="E415" s="151"/>
      <c r="F415" s="151"/>
      <c r="G415" s="152"/>
    </row>
    <row r="416" spans="1:7" ht="20.100000000000001" customHeight="1">
      <c r="A416" s="200"/>
      <c r="B416" s="150"/>
      <c r="C416" s="150"/>
      <c r="D416" s="151"/>
      <c r="E416" s="151"/>
      <c r="F416" s="151"/>
      <c r="G416" s="152"/>
    </row>
    <row r="417" spans="1:7" ht="20.100000000000001" customHeight="1">
      <c r="A417" s="200"/>
      <c r="B417" s="150"/>
      <c r="C417" s="150"/>
      <c r="D417" s="151"/>
      <c r="E417" s="151"/>
      <c r="F417" s="151"/>
      <c r="G417" s="152"/>
    </row>
    <row r="418" spans="1:7" ht="20.100000000000001" customHeight="1">
      <c r="A418" s="200"/>
      <c r="B418" s="150"/>
      <c r="C418" s="150"/>
      <c r="D418" s="151"/>
      <c r="E418" s="151"/>
      <c r="F418" s="151"/>
      <c r="G418" s="152"/>
    </row>
    <row r="419" spans="1:7" ht="20.100000000000001" customHeight="1">
      <c r="A419" s="200"/>
      <c r="B419" s="150"/>
      <c r="C419" s="150"/>
      <c r="D419" s="151"/>
      <c r="E419" s="151"/>
      <c r="F419" s="151"/>
      <c r="G419" s="152"/>
    </row>
    <row r="420" spans="1:7" ht="20.100000000000001" customHeight="1">
      <c r="A420" s="199"/>
      <c r="B420" s="163"/>
      <c r="C420" s="163"/>
      <c r="D420" s="164"/>
      <c r="E420" s="164"/>
      <c r="F420" s="164"/>
      <c r="G420" s="165"/>
    </row>
    <row r="421" spans="1:7" ht="20.100000000000001" customHeight="1" thickBot="1">
      <c r="A421" s="198"/>
      <c r="B421" s="157" t="s">
        <v>728</v>
      </c>
      <c r="C421" s="158"/>
      <c r="D421" s="159"/>
      <c r="E421" s="159"/>
      <c r="F421" s="159"/>
      <c r="G421" s="160">
        <f>SUM(G403:G420)</f>
        <v>254156</v>
      </c>
    </row>
    <row r="422" spans="1:7" ht="20.100000000000001" hidden="1" customHeight="1" outlineLevel="1">
      <c r="A422" s="202" t="s">
        <v>924</v>
      </c>
      <c r="B422" s="166" t="s">
        <v>542</v>
      </c>
      <c r="C422" s="167"/>
      <c r="D422" s="168"/>
      <c r="E422" s="168"/>
      <c r="F422" s="168"/>
      <c r="G422" s="169"/>
    </row>
    <row r="423" spans="1:7" ht="20.100000000000001" hidden="1" customHeight="1" outlineLevel="1">
      <c r="A423" s="200"/>
      <c r="B423" s="150"/>
      <c r="C423" s="150"/>
      <c r="D423" s="151"/>
      <c r="E423" s="151"/>
      <c r="F423" s="151"/>
      <c r="G423" s="152"/>
    </row>
    <row r="424" spans="1:7" ht="20.100000000000001" hidden="1" customHeight="1" outlineLevel="1">
      <c r="A424" s="200" t="s">
        <v>926</v>
      </c>
      <c r="B424" s="123" t="s">
        <v>543</v>
      </c>
      <c r="C424" s="123" t="s">
        <v>544</v>
      </c>
      <c r="D424" s="124">
        <v>3</v>
      </c>
      <c r="E424" s="125" t="s">
        <v>438</v>
      </c>
      <c r="F424" s="162">
        <v>5800</v>
      </c>
      <c r="G424" s="127">
        <f>ROUNDDOWN(D424*F424,0)</f>
        <v>17400</v>
      </c>
    </row>
    <row r="425" spans="1:7" ht="20.100000000000001" hidden="1" customHeight="1" outlineLevel="1">
      <c r="A425" s="200" t="s">
        <v>927</v>
      </c>
      <c r="B425" s="123" t="s">
        <v>543</v>
      </c>
      <c r="C425" s="123" t="s">
        <v>547</v>
      </c>
      <c r="D425" s="124">
        <v>3</v>
      </c>
      <c r="E425" s="125" t="s">
        <v>438</v>
      </c>
      <c r="F425" s="162">
        <v>25000</v>
      </c>
      <c r="G425" s="127">
        <f>ROUNDDOWN(D425*F425,0)</f>
        <v>75000</v>
      </c>
    </row>
    <row r="426" spans="1:7" ht="20.100000000000001" hidden="1" customHeight="1" outlineLevel="1">
      <c r="A426" s="200" t="s">
        <v>928</v>
      </c>
      <c r="B426" s="123" t="s">
        <v>543</v>
      </c>
      <c r="C426" s="123" t="s">
        <v>550</v>
      </c>
      <c r="D426" s="124">
        <v>2</v>
      </c>
      <c r="E426" s="125" t="s">
        <v>438</v>
      </c>
      <c r="F426" s="162">
        <v>12900</v>
      </c>
      <c r="G426" s="127">
        <f>ROUNDDOWN(D426*F426,0)</f>
        <v>25800</v>
      </c>
    </row>
    <row r="427" spans="1:7" ht="20.100000000000001" hidden="1" customHeight="1" outlineLevel="1">
      <c r="A427" s="200" t="s">
        <v>929</v>
      </c>
      <c r="B427" s="123" t="s">
        <v>553</v>
      </c>
      <c r="C427" s="123" t="s">
        <v>554</v>
      </c>
      <c r="D427" s="124">
        <v>14.82</v>
      </c>
      <c r="E427" s="125" t="s">
        <v>176</v>
      </c>
      <c r="F427" s="162">
        <v>5800</v>
      </c>
      <c r="G427" s="127">
        <f>ROUNDDOWN(D427*F427,0)</f>
        <v>85956</v>
      </c>
    </row>
    <row r="428" spans="1:7" ht="20.100000000000001" hidden="1" customHeight="1" outlineLevel="1">
      <c r="A428" s="200"/>
      <c r="B428" s="150"/>
      <c r="C428" s="150"/>
      <c r="D428" s="151"/>
      <c r="E428" s="151"/>
      <c r="F428" s="151"/>
      <c r="G428" s="152"/>
    </row>
    <row r="429" spans="1:7" ht="20.100000000000001" hidden="1" customHeight="1" outlineLevel="1">
      <c r="A429" s="200"/>
      <c r="B429" s="150"/>
      <c r="C429" s="150"/>
      <c r="D429" s="151"/>
      <c r="E429" s="151"/>
      <c r="F429" s="151"/>
      <c r="G429" s="152"/>
    </row>
    <row r="430" spans="1:7" ht="20.100000000000001" hidden="1" customHeight="1" outlineLevel="1">
      <c r="A430" s="200"/>
      <c r="B430" s="150"/>
      <c r="C430" s="150"/>
      <c r="D430" s="151"/>
      <c r="E430" s="151"/>
      <c r="F430" s="151"/>
      <c r="G430" s="152"/>
    </row>
    <row r="431" spans="1:7" ht="20.100000000000001" hidden="1" customHeight="1" outlineLevel="1">
      <c r="A431" s="200"/>
      <c r="B431" s="150"/>
      <c r="C431" s="150"/>
      <c r="D431" s="151"/>
      <c r="E431" s="151"/>
      <c r="F431" s="151"/>
      <c r="G431" s="152"/>
    </row>
    <row r="432" spans="1:7" ht="20.100000000000001" hidden="1" customHeight="1" outlineLevel="1">
      <c r="A432" s="200"/>
      <c r="B432" s="150"/>
      <c r="C432" s="150"/>
      <c r="D432" s="151"/>
      <c r="E432" s="151"/>
      <c r="F432" s="151"/>
      <c r="G432" s="152"/>
    </row>
    <row r="433" spans="1:7" ht="20.100000000000001" hidden="1" customHeight="1" outlineLevel="1">
      <c r="A433" s="200"/>
      <c r="B433" s="150"/>
      <c r="C433" s="150"/>
      <c r="D433" s="151"/>
      <c r="E433" s="151"/>
      <c r="F433" s="151"/>
      <c r="G433" s="152"/>
    </row>
    <row r="434" spans="1:7" ht="20.100000000000001" hidden="1" customHeight="1" outlineLevel="1">
      <c r="A434" s="200"/>
      <c r="B434" s="150"/>
      <c r="C434" s="150"/>
      <c r="D434" s="151"/>
      <c r="E434" s="151"/>
      <c r="F434" s="151"/>
      <c r="G434" s="152"/>
    </row>
    <row r="435" spans="1:7" ht="20.100000000000001" hidden="1" customHeight="1" outlineLevel="1">
      <c r="A435" s="200"/>
      <c r="B435" s="150"/>
      <c r="C435" s="150"/>
      <c r="D435" s="151"/>
      <c r="E435" s="151"/>
      <c r="F435" s="151"/>
      <c r="G435" s="152"/>
    </row>
    <row r="436" spans="1:7" ht="20.100000000000001" hidden="1" customHeight="1" outlineLevel="1">
      <c r="A436" s="200"/>
      <c r="B436" s="150"/>
      <c r="C436" s="150"/>
      <c r="D436" s="151"/>
      <c r="E436" s="151"/>
      <c r="F436" s="151"/>
      <c r="G436" s="152"/>
    </row>
    <row r="437" spans="1:7" ht="20.100000000000001" hidden="1" customHeight="1" outlineLevel="1">
      <c r="A437" s="200"/>
      <c r="B437" s="150"/>
      <c r="C437" s="150"/>
      <c r="D437" s="151"/>
      <c r="E437" s="151"/>
      <c r="F437" s="151"/>
      <c r="G437" s="152"/>
    </row>
    <row r="438" spans="1:7" ht="20.100000000000001" hidden="1" customHeight="1" outlineLevel="1">
      <c r="A438" s="200"/>
      <c r="B438" s="150"/>
      <c r="C438" s="150"/>
      <c r="D438" s="151"/>
      <c r="E438" s="151"/>
      <c r="F438" s="151"/>
      <c r="G438" s="152"/>
    </row>
    <row r="439" spans="1:7" ht="20.100000000000001" hidden="1" customHeight="1" outlineLevel="1">
      <c r="A439" s="200"/>
      <c r="B439" s="150"/>
      <c r="C439" s="150"/>
      <c r="D439" s="151"/>
      <c r="E439" s="151"/>
      <c r="F439" s="151"/>
      <c r="G439" s="152"/>
    </row>
    <row r="440" spans="1:7" ht="20.100000000000001" hidden="1" customHeight="1" outlineLevel="1">
      <c r="A440" s="199"/>
      <c r="B440" s="163"/>
      <c r="C440" s="163"/>
      <c r="D440" s="164"/>
      <c r="E440" s="164"/>
      <c r="F440" s="164"/>
      <c r="G440" s="165"/>
    </row>
    <row r="441" spans="1:7" ht="20.100000000000001" hidden="1" customHeight="1" outlineLevel="1" thickBot="1">
      <c r="A441" s="198"/>
      <c r="B441" s="157" t="s">
        <v>728</v>
      </c>
      <c r="C441" s="158"/>
      <c r="D441" s="159"/>
      <c r="E441" s="159"/>
      <c r="F441" s="159"/>
      <c r="G441" s="160">
        <f>SUM(G423:G440)</f>
        <v>204156</v>
      </c>
    </row>
    <row r="442" spans="1:7" ht="20.100000000000001" customHeight="1" collapsed="1">
      <c r="A442" s="202" t="s">
        <v>756</v>
      </c>
      <c r="B442" s="166" t="s">
        <v>559</v>
      </c>
      <c r="C442" s="167"/>
      <c r="D442" s="168"/>
      <c r="E442" s="168"/>
      <c r="F442" s="168"/>
      <c r="G442" s="169"/>
    </row>
    <row r="443" spans="1:7" ht="20.100000000000001" customHeight="1">
      <c r="A443" s="200"/>
      <c r="B443" s="150"/>
      <c r="C443" s="150"/>
      <c r="D443" s="151"/>
      <c r="E443" s="151"/>
      <c r="F443" s="151"/>
      <c r="G443" s="152"/>
    </row>
    <row r="444" spans="1:7" ht="20.100000000000001" customHeight="1">
      <c r="A444" s="200" t="s">
        <v>930</v>
      </c>
      <c r="B444" s="123" t="s">
        <v>560</v>
      </c>
      <c r="C444" s="123" t="s">
        <v>561</v>
      </c>
      <c r="D444" s="124">
        <v>11.58</v>
      </c>
      <c r="E444" s="125" t="s">
        <v>176</v>
      </c>
      <c r="F444" s="162">
        <v>22000</v>
      </c>
      <c r="G444" s="127">
        <f>ROUNDDOWN(D444*F444,0)</f>
        <v>254760</v>
      </c>
    </row>
    <row r="445" spans="1:7" ht="20.100000000000001" customHeight="1">
      <c r="A445" s="200"/>
      <c r="B445" s="150"/>
      <c r="C445" s="150"/>
      <c r="D445" s="151"/>
      <c r="E445" s="151"/>
      <c r="F445" s="151"/>
      <c r="G445" s="152"/>
    </row>
    <row r="446" spans="1:7" ht="20.100000000000001" customHeight="1">
      <c r="A446" s="200"/>
      <c r="B446" s="150"/>
      <c r="C446" s="150"/>
      <c r="D446" s="151"/>
      <c r="E446" s="151"/>
      <c r="F446" s="151"/>
      <c r="G446" s="152"/>
    </row>
    <row r="447" spans="1:7" ht="20.100000000000001" customHeight="1">
      <c r="A447" s="200"/>
      <c r="B447" s="150"/>
      <c r="C447" s="150"/>
      <c r="D447" s="151"/>
      <c r="E447" s="151"/>
      <c r="F447" s="151"/>
      <c r="G447" s="152"/>
    </row>
    <row r="448" spans="1:7" ht="20.100000000000001" customHeight="1">
      <c r="A448" s="200"/>
      <c r="B448" s="150"/>
      <c r="C448" s="150"/>
      <c r="D448" s="151"/>
      <c r="E448" s="151"/>
      <c r="F448" s="151"/>
      <c r="G448" s="152"/>
    </row>
    <row r="449" spans="1:7" ht="20.100000000000001" customHeight="1">
      <c r="A449" s="200"/>
      <c r="B449" s="150"/>
      <c r="C449" s="150"/>
      <c r="D449" s="151"/>
      <c r="E449" s="151"/>
      <c r="F449" s="151"/>
      <c r="G449" s="152"/>
    </row>
    <row r="450" spans="1:7" ht="20.100000000000001" customHeight="1">
      <c r="A450" s="200"/>
      <c r="B450" s="150"/>
      <c r="C450" s="150"/>
      <c r="D450" s="151"/>
      <c r="E450" s="151"/>
      <c r="F450" s="151"/>
      <c r="G450" s="152"/>
    </row>
    <row r="451" spans="1:7" ht="20.100000000000001" customHeight="1">
      <c r="A451" s="200"/>
      <c r="B451" s="150"/>
      <c r="C451" s="150"/>
      <c r="D451" s="151"/>
      <c r="E451" s="151"/>
      <c r="F451" s="151"/>
      <c r="G451" s="152"/>
    </row>
    <row r="452" spans="1:7" ht="20.100000000000001" customHeight="1">
      <c r="A452" s="200"/>
      <c r="B452" s="150"/>
      <c r="C452" s="150"/>
      <c r="D452" s="151"/>
      <c r="E452" s="151"/>
      <c r="F452" s="151"/>
      <c r="G452" s="152"/>
    </row>
    <row r="453" spans="1:7" ht="20.100000000000001" customHeight="1">
      <c r="A453" s="200"/>
      <c r="B453" s="150"/>
      <c r="C453" s="150"/>
      <c r="D453" s="151"/>
      <c r="E453" s="151"/>
      <c r="F453" s="151"/>
      <c r="G453" s="152"/>
    </row>
    <row r="454" spans="1:7" ht="20.100000000000001" customHeight="1">
      <c r="A454" s="200"/>
      <c r="B454" s="150"/>
      <c r="C454" s="150"/>
      <c r="D454" s="151"/>
      <c r="E454" s="151"/>
      <c r="F454" s="151"/>
      <c r="G454" s="152"/>
    </row>
    <row r="455" spans="1:7" ht="20.100000000000001" customHeight="1">
      <c r="A455" s="200"/>
      <c r="B455" s="150"/>
      <c r="C455" s="150"/>
      <c r="D455" s="151"/>
      <c r="E455" s="151"/>
      <c r="F455" s="151"/>
      <c r="G455" s="152"/>
    </row>
    <row r="456" spans="1:7" ht="20.100000000000001" customHeight="1">
      <c r="A456" s="200"/>
      <c r="B456" s="150"/>
      <c r="C456" s="150"/>
      <c r="D456" s="151"/>
      <c r="E456" s="151"/>
      <c r="F456" s="151"/>
      <c r="G456" s="152"/>
    </row>
    <row r="457" spans="1:7" ht="20.100000000000001" customHeight="1">
      <c r="A457" s="200"/>
      <c r="B457" s="150"/>
      <c r="C457" s="150"/>
      <c r="D457" s="151"/>
      <c r="E457" s="151"/>
      <c r="F457" s="151"/>
      <c r="G457" s="152"/>
    </row>
    <row r="458" spans="1:7" ht="20.100000000000001" customHeight="1">
      <c r="A458" s="200"/>
      <c r="B458" s="150"/>
      <c r="C458" s="150"/>
      <c r="D458" s="151"/>
      <c r="E458" s="151"/>
      <c r="F458" s="151"/>
      <c r="G458" s="152"/>
    </row>
    <row r="459" spans="1:7" ht="20.100000000000001" customHeight="1">
      <c r="A459" s="200"/>
      <c r="B459" s="150"/>
      <c r="C459" s="150"/>
      <c r="D459" s="151"/>
      <c r="E459" s="151"/>
      <c r="F459" s="151"/>
      <c r="G459" s="152"/>
    </row>
    <row r="460" spans="1:7" ht="20.100000000000001" customHeight="1">
      <c r="A460" s="199"/>
      <c r="B460" s="163"/>
      <c r="C460" s="163"/>
      <c r="D460" s="164"/>
      <c r="E460" s="164"/>
      <c r="F460" s="164"/>
      <c r="G460" s="165"/>
    </row>
    <row r="461" spans="1:7" ht="20.100000000000001" customHeight="1" thickBot="1">
      <c r="A461" s="198"/>
      <c r="B461" s="157" t="s">
        <v>728</v>
      </c>
      <c r="C461" s="158"/>
      <c r="D461" s="159"/>
      <c r="E461" s="159"/>
      <c r="F461" s="159"/>
      <c r="G461" s="160">
        <f>SUM(G443:G460)</f>
        <v>254760</v>
      </c>
    </row>
    <row r="462" spans="1:7" ht="20.100000000000001" customHeight="1">
      <c r="A462" s="202" t="s">
        <v>757</v>
      </c>
      <c r="B462" s="166" t="s">
        <v>565</v>
      </c>
      <c r="C462" s="167"/>
      <c r="D462" s="168"/>
      <c r="E462" s="168"/>
      <c r="F462" s="168"/>
      <c r="G462" s="169"/>
    </row>
    <row r="463" spans="1:7" ht="20.100000000000001" customHeight="1">
      <c r="A463" s="200"/>
      <c r="B463" s="150"/>
      <c r="C463" s="150"/>
      <c r="D463" s="151"/>
      <c r="E463" s="151"/>
      <c r="F463" s="151"/>
      <c r="G463" s="152"/>
    </row>
    <row r="464" spans="1:7" ht="20.100000000000001" customHeight="1">
      <c r="A464" s="200" t="s">
        <v>931</v>
      </c>
      <c r="B464" s="123" t="s">
        <v>566</v>
      </c>
      <c r="C464" s="123" t="s">
        <v>567</v>
      </c>
      <c r="D464" s="124">
        <v>1</v>
      </c>
      <c r="E464" s="125" t="s">
        <v>163</v>
      </c>
      <c r="F464" s="126">
        <v>42900</v>
      </c>
      <c r="G464" s="127">
        <f>ROUNDDOWN(D464*F464,0)</f>
        <v>42900</v>
      </c>
    </row>
    <row r="465" spans="1:7" ht="20.100000000000001" customHeight="1">
      <c r="A465" s="200"/>
      <c r="B465" s="150"/>
      <c r="C465" s="150"/>
      <c r="D465" s="151"/>
      <c r="E465" s="151"/>
      <c r="F465" s="151"/>
      <c r="G465" s="152"/>
    </row>
    <row r="466" spans="1:7" ht="20.100000000000001" customHeight="1">
      <c r="A466" s="200"/>
      <c r="B466" s="150"/>
      <c r="C466" s="150"/>
      <c r="D466" s="151"/>
      <c r="E466" s="151"/>
      <c r="F466" s="151"/>
      <c r="G466" s="152"/>
    </row>
    <row r="467" spans="1:7" ht="20.100000000000001" customHeight="1">
      <c r="A467" s="200"/>
      <c r="B467" s="150"/>
      <c r="C467" s="150"/>
      <c r="D467" s="151"/>
      <c r="E467" s="151"/>
      <c r="F467" s="151"/>
      <c r="G467" s="152"/>
    </row>
    <row r="468" spans="1:7" ht="20.100000000000001" customHeight="1">
      <c r="A468" s="200"/>
      <c r="B468" s="150"/>
      <c r="C468" s="150"/>
      <c r="D468" s="151"/>
      <c r="E468" s="151"/>
      <c r="F468" s="151"/>
      <c r="G468" s="152"/>
    </row>
    <row r="469" spans="1:7" ht="20.100000000000001" customHeight="1">
      <c r="A469" s="200"/>
      <c r="B469" s="150"/>
      <c r="C469" s="150"/>
      <c r="D469" s="151"/>
      <c r="E469" s="151"/>
      <c r="F469" s="151"/>
      <c r="G469" s="152"/>
    </row>
    <row r="470" spans="1:7" ht="20.100000000000001" customHeight="1">
      <c r="A470" s="200"/>
      <c r="B470" s="150"/>
      <c r="C470" s="150"/>
      <c r="D470" s="151"/>
      <c r="E470" s="151"/>
      <c r="F470" s="151"/>
      <c r="G470" s="152"/>
    </row>
    <row r="471" spans="1:7" ht="20.100000000000001" customHeight="1">
      <c r="A471" s="200"/>
      <c r="B471" s="150"/>
      <c r="C471" s="150"/>
      <c r="D471" s="151"/>
      <c r="E471" s="151"/>
      <c r="F471" s="151"/>
      <c r="G471" s="152"/>
    </row>
    <row r="472" spans="1:7" ht="20.100000000000001" customHeight="1">
      <c r="A472" s="200"/>
      <c r="B472" s="150"/>
      <c r="C472" s="150"/>
      <c r="D472" s="151"/>
      <c r="E472" s="151"/>
      <c r="F472" s="151"/>
      <c r="G472" s="152"/>
    </row>
    <row r="473" spans="1:7" ht="20.100000000000001" customHeight="1">
      <c r="A473" s="200"/>
      <c r="B473" s="150"/>
      <c r="C473" s="150"/>
      <c r="D473" s="151"/>
      <c r="E473" s="151"/>
      <c r="F473" s="151"/>
      <c r="G473" s="152"/>
    </row>
    <row r="474" spans="1:7" ht="20.100000000000001" customHeight="1">
      <c r="A474" s="200"/>
      <c r="B474" s="150"/>
      <c r="C474" s="150"/>
      <c r="D474" s="151"/>
      <c r="E474" s="151"/>
      <c r="F474" s="151"/>
      <c r="G474" s="152"/>
    </row>
    <row r="475" spans="1:7" ht="20.100000000000001" customHeight="1">
      <c r="A475" s="200"/>
      <c r="B475" s="150"/>
      <c r="C475" s="150"/>
      <c r="D475" s="151"/>
      <c r="E475" s="151"/>
      <c r="F475" s="151"/>
      <c r="G475" s="152"/>
    </row>
    <row r="476" spans="1:7" ht="20.100000000000001" customHeight="1">
      <c r="A476" s="200"/>
      <c r="B476" s="150"/>
      <c r="C476" s="150"/>
      <c r="D476" s="151"/>
      <c r="E476" s="151"/>
      <c r="F476" s="151"/>
      <c r="G476" s="152"/>
    </row>
    <row r="477" spans="1:7" ht="20.100000000000001" customHeight="1">
      <c r="A477" s="200"/>
      <c r="B477" s="150"/>
      <c r="C477" s="150"/>
      <c r="D477" s="151"/>
      <c r="E477" s="151"/>
      <c r="F477" s="151"/>
      <c r="G477" s="152"/>
    </row>
    <row r="478" spans="1:7" ht="20.100000000000001" customHeight="1">
      <c r="A478" s="200"/>
      <c r="B478" s="150"/>
      <c r="C478" s="150"/>
      <c r="D478" s="151"/>
      <c r="E478" s="151"/>
      <c r="F478" s="151"/>
      <c r="G478" s="152"/>
    </row>
    <row r="479" spans="1:7" ht="20.100000000000001" customHeight="1">
      <c r="A479" s="200"/>
      <c r="B479" s="150"/>
      <c r="C479" s="150"/>
      <c r="D479" s="151"/>
      <c r="E479" s="151"/>
      <c r="F479" s="151"/>
      <c r="G479" s="152"/>
    </row>
    <row r="480" spans="1:7" ht="20.100000000000001" customHeight="1">
      <c r="A480" s="199"/>
      <c r="B480" s="163"/>
      <c r="C480" s="163"/>
      <c r="D480" s="164"/>
      <c r="E480" s="164"/>
      <c r="F480" s="164"/>
      <c r="G480" s="165"/>
    </row>
    <row r="481" spans="1:7" ht="20.100000000000001" customHeight="1" thickBot="1">
      <c r="A481" s="198"/>
      <c r="B481" s="157" t="s">
        <v>728</v>
      </c>
      <c r="C481" s="158"/>
      <c r="D481" s="159"/>
      <c r="E481" s="159"/>
      <c r="F481" s="159"/>
      <c r="G481" s="160">
        <f>SUM(G463:G480)</f>
        <v>42900</v>
      </c>
    </row>
    <row r="482" spans="1:7" ht="20.100000000000001" customHeight="1">
      <c r="A482" s="202" t="s">
        <v>758</v>
      </c>
      <c r="B482" s="166" t="s">
        <v>568</v>
      </c>
      <c r="C482" s="167"/>
      <c r="D482" s="168"/>
      <c r="E482" s="168"/>
      <c r="F482" s="168"/>
      <c r="G482" s="169"/>
    </row>
    <row r="483" spans="1:7" ht="20.100000000000001" customHeight="1">
      <c r="A483" s="200"/>
      <c r="B483" s="150"/>
      <c r="C483" s="150"/>
      <c r="D483" s="151"/>
      <c r="E483" s="151"/>
      <c r="F483" s="151"/>
      <c r="G483" s="152"/>
    </row>
    <row r="484" spans="1:7" ht="20.100000000000001" customHeight="1">
      <c r="A484" s="200" t="s">
        <v>932</v>
      </c>
      <c r="B484" s="123" t="s">
        <v>569</v>
      </c>
      <c r="C484" s="123" t="s">
        <v>570</v>
      </c>
      <c r="D484" s="124">
        <v>3</v>
      </c>
      <c r="E484" s="125" t="s">
        <v>291</v>
      </c>
      <c r="F484" s="162">
        <v>21500</v>
      </c>
      <c r="G484" s="127">
        <f>ROUNDDOWN(D484*F484,0)</f>
        <v>64500</v>
      </c>
    </row>
    <row r="485" spans="1:7" ht="20.100000000000001" customHeight="1">
      <c r="A485" s="200" t="s">
        <v>933</v>
      </c>
      <c r="B485" s="123" t="s">
        <v>571</v>
      </c>
      <c r="C485" s="123" t="s">
        <v>572</v>
      </c>
      <c r="D485" s="124">
        <v>34.880000000000003</v>
      </c>
      <c r="E485" s="125" t="s">
        <v>213</v>
      </c>
      <c r="F485" s="162">
        <v>21200</v>
      </c>
      <c r="G485" s="127">
        <f>ROUNDDOWN(D485*F485,0)</f>
        <v>739456</v>
      </c>
    </row>
    <row r="486" spans="1:7" ht="20.100000000000001" customHeight="1">
      <c r="A486" s="200" t="s">
        <v>934</v>
      </c>
      <c r="B486" s="123" t="s">
        <v>573</v>
      </c>
      <c r="C486" s="123" t="s">
        <v>401</v>
      </c>
      <c r="D486" s="124">
        <v>5.46</v>
      </c>
      <c r="E486" s="125" t="s">
        <v>203</v>
      </c>
      <c r="F486" s="162">
        <v>1500</v>
      </c>
      <c r="G486" s="127">
        <f>ROUNDDOWN(D486*F486,0)</f>
        <v>8190</v>
      </c>
    </row>
    <row r="487" spans="1:7" ht="20.100000000000001" customHeight="1">
      <c r="A487" s="200" t="s">
        <v>935</v>
      </c>
      <c r="B487" s="123" t="s">
        <v>574</v>
      </c>
      <c r="C487" s="123" t="s">
        <v>157</v>
      </c>
      <c r="D487" s="124">
        <v>1</v>
      </c>
      <c r="E487" s="125" t="s">
        <v>163</v>
      </c>
      <c r="F487" s="126">
        <v>84300</v>
      </c>
      <c r="G487" s="127">
        <f>ROUNDDOWN(D487*F487,0)</f>
        <v>84300</v>
      </c>
    </row>
    <row r="488" spans="1:7" ht="20.100000000000001" customHeight="1">
      <c r="A488" s="200"/>
      <c r="B488" s="150"/>
      <c r="C488" s="150"/>
      <c r="D488" s="151"/>
      <c r="E488" s="151"/>
      <c r="F488" s="151"/>
      <c r="G488" s="152"/>
    </row>
    <row r="489" spans="1:7" ht="20.100000000000001" customHeight="1">
      <c r="A489" s="200"/>
      <c r="B489" s="150"/>
      <c r="C489" s="150"/>
      <c r="D489" s="151"/>
      <c r="E489" s="151"/>
      <c r="F489" s="151"/>
      <c r="G489" s="152"/>
    </row>
    <row r="490" spans="1:7" ht="20.100000000000001" customHeight="1">
      <c r="A490" s="200"/>
      <c r="B490" s="150"/>
      <c r="C490" s="150"/>
      <c r="D490" s="151"/>
      <c r="E490" s="151"/>
      <c r="F490" s="151"/>
      <c r="G490" s="152"/>
    </row>
    <row r="491" spans="1:7" ht="20.100000000000001" customHeight="1">
      <c r="A491" s="200"/>
      <c r="B491" s="150"/>
      <c r="C491" s="150"/>
      <c r="D491" s="151"/>
      <c r="E491" s="151"/>
      <c r="F491" s="151"/>
      <c r="G491" s="152"/>
    </row>
    <row r="492" spans="1:7" ht="20.100000000000001" customHeight="1">
      <c r="A492" s="200"/>
      <c r="B492" s="150"/>
      <c r="C492" s="150"/>
      <c r="D492" s="151"/>
      <c r="E492" s="151"/>
      <c r="F492" s="151"/>
      <c r="G492" s="152"/>
    </row>
    <row r="493" spans="1:7" ht="20.100000000000001" customHeight="1">
      <c r="A493" s="200"/>
      <c r="B493" s="150"/>
      <c r="C493" s="150"/>
      <c r="D493" s="151"/>
      <c r="E493" s="151"/>
      <c r="F493" s="151"/>
      <c r="G493" s="152"/>
    </row>
    <row r="494" spans="1:7" ht="20.100000000000001" customHeight="1">
      <c r="A494" s="200"/>
      <c r="B494" s="150"/>
      <c r="C494" s="150"/>
      <c r="D494" s="151"/>
      <c r="E494" s="151"/>
      <c r="F494" s="151"/>
      <c r="G494" s="152"/>
    </row>
    <row r="495" spans="1:7" ht="20.100000000000001" customHeight="1">
      <c r="A495" s="200"/>
      <c r="B495" s="150"/>
      <c r="C495" s="150"/>
      <c r="D495" s="151"/>
      <c r="E495" s="151"/>
      <c r="F495" s="151"/>
      <c r="G495" s="152"/>
    </row>
    <row r="496" spans="1:7" ht="20.100000000000001" customHeight="1">
      <c r="A496" s="200"/>
      <c r="B496" s="150"/>
      <c r="C496" s="150"/>
      <c r="D496" s="151"/>
      <c r="E496" s="151"/>
      <c r="F496" s="151"/>
      <c r="G496" s="152"/>
    </row>
    <row r="497" spans="1:7" ht="20.100000000000001" customHeight="1">
      <c r="A497" s="200"/>
      <c r="B497" s="150"/>
      <c r="C497" s="150"/>
      <c r="D497" s="151"/>
      <c r="E497" s="151"/>
      <c r="F497" s="151"/>
      <c r="G497" s="152"/>
    </row>
    <row r="498" spans="1:7" ht="20.100000000000001" customHeight="1">
      <c r="A498" s="200"/>
      <c r="B498" s="150"/>
      <c r="C498" s="150"/>
      <c r="D498" s="151"/>
      <c r="E498" s="151"/>
      <c r="F498" s="151"/>
      <c r="G498" s="152"/>
    </row>
    <row r="499" spans="1:7" ht="20.100000000000001" customHeight="1">
      <c r="A499" s="200"/>
      <c r="B499" s="150"/>
      <c r="C499" s="150"/>
      <c r="D499" s="151"/>
      <c r="E499" s="151"/>
      <c r="F499" s="151"/>
      <c r="G499" s="152"/>
    </row>
    <row r="500" spans="1:7" ht="20.100000000000001" customHeight="1">
      <c r="A500" s="199"/>
      <c r="B500" s="163"/>
      <c r="C500" s="163"/>
      <c r="D500" s="164"/>
      <c r="E500" s="164"/>
      <c r="F500" s="164"/>
      <c r="G500" s="165"/>
    </row>
    <row r="501" spans="1:7" ht="20.100000000000001" customHeight="1" thickBot="1">
      <c r="A501" s="198"/>
      <c r="B501" s="157" t="s">
        <v>728</v>
      </c>
      <c r="C501" s="158"/>
      <c r="D501" s="159"/>
      <c r="E501" s="159"/>
      <c r="F501" s="159"/>
      <c r="G501" s="160">
        <f>SUM(G483:G500)</f>
        <v>896446</v>
      </c>
    </row>
    <row r="502" spans="1:7" ht="20.100000000000001" customHeight="1">
      <c r="A502" s="202" t="s">
        <v>759</v>
      </c>
      <c r="B502" s="166" t="s">
        <v>575</v>
      </c>
      <c r="C502" s="167"/>
      <c r="D502" s="168"/>
      <c r="E502" s="168"/>
      <c r="F502" s="168"/>
      <c r="G502" s="169"/>
    </row>
    <row r="503" spans="1:7" ht="20.100000000000001" customHeight="1">
      <c r="A503" s="200"/>
      <c r="B503" s="150"/>
      <c r="C503" s="150"/>
      <c r="D503" s="151"/>
      <c r="E503" s="151"/>
      <c r="F503" s="151"/>
      <c r="G503" s="152"/>
    </row>
    <row r="504" spans="1:7" ht="20.100000000000001" customHeight="1">
      <c r="A504" s="200" t="s">
        <v>936</v>
      </c>
      <c r="B504" s="123" t="s">
        <v>576</v>
      </c>
      <c r="C504" s="123" t="s">
        <v>577</v>
      </c>
      <c r="D504" s="124">
        <v>1</v>
      </c>
      <c r="E504" s="125" t="s">
        <v>257</v>
      </c>
      <c r="F504" s="126">
        <v>514300</v>
      </c>
      <c r="G504" s="127">
        <f t="shared" ref="G504:G514" si="9">ROUNDDOWN(D504*F504,0)</f>
        <v>514300</v>
      </c>
    </row>
    <row r="505" spans="1:7" ht="20.100000000000001" customHeight="1">
      <c r="A505" s="200" t="s">
        <v>937</v>
      </c>
      <c r="B505" s="123" t="s">
        <v>578</v>
      </c>
      <c r="C505" s="123" t="s">
        <v>579</v>
      </c>
      <c r="D505" s="124">
        <v>1</v>
      </c>
      <c r="E505" s="125" t="s">
        <v>219</v>
      </c>
      <c r="F505" s="126">
        <v>250000</v>
      </c>
      <c r="G505" s="127">
        <f t="shared" si="9"/>
        <v>250000</v>
      </c>
    </row>
    <row r="506" spans="1:7" ht="20.100000000000001" customHeight="1">
      <c r="A506" s="200" t="s">
        <v>938</v>
      </c>
      <c r="B506" s="123" t="s">
        <v>580</v>
      </c>
      <c r="C506" s="123" t="s">
        <v>581</v>
      </c>
      <c r="D506" s="124">
        <v>1</v>
      </c>
      <c r="E506" s="125" t="s">
        <v>257</v>
      </c>
      <c r="F506" s="126">
        <v>56500</v>
      </c>
      <c r="G506" s="127">
        <f t="shared" si="9"/>
        <v>56500</v>
      </c>
    </row>
    <row r="507" spans="1:7" ht="20.100000000000001" customHeight="1">
      <c r="A507" s="200" t="s">
        <v>939</v>
      </c>
      <c r="B507" s="123" t="s">
        <v>582</v>
      </c>
      <c r="C507" s="123" t="s">
        <v>583</v>
      </c>
      <c r="D507" s="124">
        <v>1</v>
      </c>
      <c r="E507" s="125" t="s">
        <v>257</v>
      </c>
      <c r="F507" s="126">
        <v>371500</v>
      </c>
      <c r="G507" s="127">
        <f t="shared" si="9"/>
        <v>371500</v>
      </c>
    </row>
    <row r="508" spans="1:7" ht="20.100000000000001" customHeight="1">
      <c r="A508" s="200" t="s">
        <v>940</v>
      </c>
      <c r="B508" s="123" t="s">
        <v>584</v>
      </c>
      <c r="C508" s="123" t="s">
        <v>585</v>
      </c>
      <c r="D508" s="124">
        <v>1</v>
      </c>
      <c r="E508" s="125" t="s">
        <v>257</v>
      </c>
      <c r="F508" s="126">
        <v>90300</v>
      </c>
      <c r="G508" s="127">
        <f t="shared" si="9"/>
        <v>90300</v>
      </c>
    </row>
    <row r="509" spans="1:7" ht="20.100000000000001" customHeight="1">
      <c r="A509" s="200" t="s">
        <v>941</v>
      </c>
      <c r="B509" s="123" t="s">
        <v>588</v>
      </c>
      <c r="C509" s="123" t="s">
        <v>589</v>
      </c>
      <c r="D509" s="124">
        <v>1</v>
      </c>
      <c r="E509" s="125" t="s">
        <v>257</v>
      </c>
      <c r="F509" s="126">
        <v>300000</v>
      </c>
      <c r="G509" s="127">
        <f t="shared" si="9"/>
        <v>300000</v>
      </c>
    </row>
    <row r="510" spans="1:7" ht="20.100000000000001" customHeight="1">
      <c r="A510" s="200" t="s">
        <v>942</v>
      </c>
      <c r="B510" s="123" t="s">
        <v>590</v>
      </c>
      <c r="C510" s="123" t="s">
        <v>591</v>
      </c>
      <c r="D510" s="124">
        <v>3</v>
      </c>
      <c r="E510" s="125" t="s">
        <v>219</v>
      </c>
      <c r="F510" s="162">
        <v>7200</v>
      </c>
      <c r="G510" s="127">
        <f t="shared" si="9"/>
        <v>21600</v>
      </c>
    </row>
    <row r="511" spans="1:7" ht="20.100000000000001" customHeight="1">
      <c r="A511" s="200" t="s">
        <v>943</v>
      </c>
      <c r="B511" s="123" t="s">
        <v>595</v>
      </c>
      <c r="C511" s="123" t="s">
        <v>591</v>
      </c>
      <c r="D511" s="124">
        <v>2</v>
      </c>
      <c r="E511" s="125" t="s">
        <v>219</v>
      </c>
      <c r="F511" s="162">
        <v>4300</v>
      </c>
      <c r="G511" s="127">
        <f t="shared" si="9"/>
        <v>8600</v>
      </c>
    </row>
    <row r="512" spans="1:7" ht="20.100000000000001" customHeight="1">
      <c r="A512" s="200" t="s">
        <v>944</v>
      </c>
      <c r="B512" s="123" t="s">
        <v>596</v>
      </c>
      <c r="C512" s="123" t="s">
        <v>597</v>
      </c>
      <c r="D512" s="124">
        <v>1</v>
      </c>
      <c r="E512" s="125" t="s">
        <v>257</v>
      </c>
      <c r="F512" s="126">
        <v>14500</v>
      </c>
      <c r="G512" s="127">
        <f t="shared" si="9"/>
        <v>14500</v>
      </c>
    </row>
    <row r="513" spans="1:7" ht="20.100000000000001" customHeight="1">
      <c r="A513" s="200" t="s">
        <v>945</v>
      </c>
      <c r="B513" s="123" t="s">
        <v>598</v>
      </c>
      <c r="C513" s="123" t="s">
        <v>599</v>
      </c>
      <c r="D513" s="124">
        <v>1</v>
      </c>
      <c r="E513" s="125" t="s">
        <v>257</v>
      </c>
      <c r="F513" s="126">
        <v>564600</v>
      </c>
      <c r="G513" s="127">
        <f t="shared" si="9"/>
        <v>564600</v>
      </c>
    </row>
    <row r="514" spans="1:7" ht="20.100000000000001" customHeight="1">
      <c r="A514" s="200" t="s">
        <v>946</v>
      </c>
      <c r="B514" s="123" t="s">
        <v>600</v>
      </c>
      <c r="C514" s="123" t="s">
        <v>601</v>
      </c>
      <c r="D514" s="124">
        <v>1</v>
      </c>
      <c r="E514" s="125" t="s">
        <v>219</v>
      </c>
      <c r="F514" s="126">
        <v>148600</v>
      </c>
      <c r="G514" s="127">
        <f t="shared" si="9"/>
        <v>148600</v>
      </c>
    </row>
    <row r="515" spans="1:7" ht="20.100000000000001" customHeight="1">
      <c r="A515" s="200"/>
      <c r="B515" s="150"/>
      <c r="C515" s="150"/>
      <c r="D515" s="151"/>
      <c r="E515" s="151"/>
      <c r="F515" s="151"/>
      <c r="G515" s="152"/>
    </row>
    <row r="516" spans="1:7" ht="20.100000000000001" customHeight="1">
      <c r="A516" s="200"/>
      <c r="B516" s="150"/>
      <c r="C516" s="150"/>
      <c r="D516" s="151"/>
      <c r="E516" s="151"/>
      <c r="F516" s="151"/>
      <c r="G516" s="152"/>
    </row>
    <row r="517" spans="1:7" ht="20.100000000000001" customHeight="1">
      <c r="A517" s="200"/>
      <c r="B517" s="150"/>
      <c r="C517" s="150"/>
      <c r="D517" s="151"/>
      <c r="E517" s="151"/>
      <c r="F517" s="151"/>
      <c r="G517" s="152"/>
    </row>
    <row r="518" spans="1:7" ht="20.100000000000001" customHeight="1">
      <c r="A518" s="200"/>
      <c r="B518" s="150"/>
      <c r="C518" s="150"/>
      <c r="D518" s="151"/>
      <c r="E518" s="151"/>
      <c r="F518" s="151"/>
      <c r="G518" s="152"/>
    </row>
    <row r="519" spans="1:7" ht="20.100000000000001" customHeight="1">
      <c r="A519" s="200"/>
      <c r="B519" s="150"/>
      <c r="C519" s="150"/>
      <c r="D519" s="151"/>
      <c r="E519" s="151"/>
      <c r="F519" s="151"/>
      <c r="G519" s="152"/>
    </row>
    <row r="520" spans="1:7" ht="20.100000000000001" customHeight="1">
      <c r="A520" s="199"/>
      <c r="B520" s="163"/>
      <c r="C520" s="163"/>
      <c r="D520" s="164"/>
      <c r="E520" s="164"/>
      <c r="F520" s="164"/>
      <c r="G520" s="165"/>
    </row>
    <row r="521" spans="1:7" ht="20.100000000000001" customHeight="1" thickBot="1">
      <c r="A521" s="198"/>
      <c r="B521" s="157" t="s">
        <v>728</v>
      </c>
      <c r="C521" s="158"/>
      <c r="D521" s="159"/>
      <c r="E521" s="159"/>
      <c r="F521" s="159"/>
      <c r="G521" s="160">
        <f>SUM(G503:G520)</f>
        <v>2340500</v>
      </c>
    </row>
    <row r="522" spans="1:7" ht="20.100000000000001" customHeight="1">
      <c r="A522" s="202" t="s">
        <v>760</v>
      </c>
      <c r="B522" s="166" t="s">
        <v>602</v>
      </c>
      <c r="C522" s="167"/>
      <c r="D522" s="168"/>
      <c r="E522" s="168"/>
      <c r="F522" s="168"/>
      <c r="G522" s="169"/>
    </row>
    <row r="523" spans="1:7" ht="20.100000000000001" customHeight="1">
      <c r="A523" s="200"/>
      <c r="B523" s="150"/>
      <c r="C523" s="150"/>
      <c r="D523" s="151"/>
      <c r="E523" s="151"/>
      <c r="F523" s="151"/>
      <c r="G523" s="152"/>
    </row>
    <row r="524" spans="1:7" ht="20.100000000000001" customHeight="1">
      <c r="A524" s="200" t="s">
        <v>947</v>
      </c>
      <c r="B524" s="123" t="s">
        <v>603</v>
      </c>
      <c r="C524" s="123" t="s">
        <v>604</v>
      </c>
      <c r="D524" s="124">
        <v>1</v>
      </c>
      <c r="E524" s="125" t="s">
        <v>163</v>
      </c>
      <c r="F524" s="126">
        <v>242900</v>
      </c>
      <c r="G524" s="127">
        <f>ROUNDDOWN(D524*F524,0)</f>
        <v>242900</v>
      </c>
    </row>
    <row r="525" spans="1:7" ht="20.100000000000001" customHeight="1">
      <c r="A525" s="200"/>
      <c r="B525" s="150"/>
      <c r="C525" s="150"/>
      <c r="D525" s="151"/>
      <c r="E525" s="151"/>
      <c r="F525" s="151"/>
      <c r="G525" s="152"/>
    </row>
    <row r="526" spans="1:7" ht="20.100000000000001" customHeight="1">
      <c r="A526" s="200"/>
      <c r="B526" s="150"/>
      <c r="C526" s="150"/>
      <c r="D526" s="151"/>
      <c r="E526" s="151"/>
      <c r="F526" s="151"/>
      <c r="G526" s="152"/>
    </row>
    <row r="527" spans="1:7" ht="20.100000000000001" customHeight="1">
      <c r="A527" s="200"/>
      <c r="B527" s="150"/>
      <c r="C527" s="150"/>
      <c r="D527" s="151"/>
      <c r="E527" s="151"/>
      <c r="F527" s="151"/>
      <c r="G527" s="152"/>
    </row>
    <row r="528" spans="1:7" ht="20.100000000000001" customHeight="1">
      <c r="A528" s="200"/>
      <c r="B528" s="150"/>
      <c r="C528" s="150"/>
      <c r="D528" s="151"/>
      <c r="E528" s="151"/>
      <c r="F528" s="151"/>
      <c r="G528" s="152"/>
    </row>
    <row r="529" spans="1:7" ht="20.100000000000001" customHeight="1">
      <c r="A529" s="200"/>
      <c r="B529" s="150"/>
      <c r="C529" s="150"/>
      <c r="D529" s="151"/>
      <c r="E529" s="151"/>
      <c r="F529" s="151"/>
      <c r="G529" s="152"/>
    </row>
    <row r="530" spans="1:7" ht="20.100000000000001" customHeight="1">
      <c r="A530" s="200"/>
      <c r="B530" s="150"/>
      <c r="C530" s="150"/>
      <c r="D530" s="151"/>
      <c r="E530" s="151"/>
      <c r="F530" s="151"/>
      <c r="G530" s="152"/>
    </row>
    <row r="531" spans="1:7" ht="20.100000000000001" customHeight="1">
      <c r="A531" s="200"/>
      <c r="B531" s="150"/>
      <c r="C531" s="150"/>
      <c r="D531" s="151"/>
      <c r="E531" s="151"/>
      <c r="F531" s="151"/>
      <c r="G531" s="152"/>
    </row>
    <row r="532" spans="1:7" ht="20.100000000000001" customHeight="1">
      <c r="A532" s="200"/>
      <c r="B532" s="150"/>
      <c r="C532" s="150"/>
      <c r="D532" s="151"/>
      <c r="E532" s="151"/>
      <c r="F532" s="151"/>
      <c r="G532" s="152"/>
    </row>
    <row r="533" spans="1:7" ht="20.100000000000001" customHeight="1">
      <c r="A533" s="200"/>
      <c r="B533" s="150"/>
      <c r="C533" s="150"/>
      <c r="D533" s="151"/>
      <c r="E533" s="151"/>
      <c r="F533" s="151"/>
      <c r="G533" s="152"/>
    </row>
    <row r="534" spans="1:7" ht="20.100000000000001" customHeight="1">
      <c r="A534" s="200"/>
      <c r="B534" s="150"/>
      <c r="C534" s="150"/>
      <c r="D534" s="151"/>
      <c r="E534" s="151"/>
      <c r="F534" s="151"/>
      <c r="G534" s="152"/>
    </row>
    <row r="535" spans="1:7" ht="20.100000000000001" customHeight="1">
      <c r="A535" s="200"/>
      <c r="B535" s="150"/>
      <c r="C535" s="150"/>
      <c r="D535" s="151"/>
      <c r="E535" s="151"/>
      <c r="F535" s="151"/>
      <c r="G535" s="152"/>
    </row>
    <row r="536" spans="1:7" ht="20.100000000000001" customHeight="1">
      <c r="A536" s="200"/>
      <c r="B536" s="150"/>
      <c r="C536" s="150"/>
      <c r="D536" s="151"/>
      <c r="E536" s="151"/>
      <c r="F536" s="151"/>
      <c r="G536" s="152"/>
    </row>
    <row r="537" spans="1:7" ht="20.100000000000001" customHeight="1">
      <c r="A537" s="200"/>
      <c r="B537" s="150"/>
      <c r="C537" s="150"/>
      <c r="D537" s="151"/>
      <c r="E537" s="151"/>
      <c r="F537" s="151"/>
      <c r="G537" s="152"/>
    </row>
    <row r="538" spans="1:7" ht="20.100000000000001" customHeight="1">
      <c r="A538" s="200"/>
      <c r="B538" s="150"/>
      <c r="C538" s="150"/>
      <c r="D538" s="151"/>
      <c r="E538" s="151"/>
      <c r="F538" s="151"/>
      <c r="G538" s="152"/>
    </row>
    <row r="539" spans="1:7" ht="20.100000000000001" customHeight="1">
      <c r="A539" s="200"/>
      <c r="B539" s="150"/>
      <c r="C539" s="150"/>
      <c r="D539" s="151"/>
      <c r="E539" s="151"/>
      <c r="F539" s="151"/>
      <c r="G539" s="152"/>
    </row>
    <row r="540" spans="1:7" ht="20.100000000000001" customHeight="1">
      <c r="A540" s="199"/>
      <c r="B540" s="163"/>
      <c r="C540" s="163"/>
      <c r="D540" s="164"/>
      <c r="E540" s="164"/>
      <c r="F540" s="164"/>
      <c r="G540" s="165"/>
    </row>
    <row r="541" spans="1:7" ht="20.100000000000001" customHeight="1" thickBot="1">
      <c r="A541" s="198"/>
      <c r="B541" s="157" t="s">
        <v>728</v>
      </c>
      <c r="C541" s="158"/>
      <c r="D541" s="159"/>
      <c r="E541" s="159"/>
      <c r="F541" s="159"/>
      <c r="G541" s="160">
        <f>SUM(G523:G540)</f>
        <v>242900</v>
      </c>
    </row>
    <row r="542" spans="1:7" ht="20.100000000000001" customHeight="1">
      <c r="A542" s="202" t="s">
        <v>761</v>
      </c>
      <c r="B542" s="166" t="s">
        <v>605</v>
      </c>
      <c r="C542" s="167"/>
      <c r="D542" s="168"/>
      <c r="E542" s="168"/>
      <c r="F542" s="168"/>
      <c r="G542" s="169"/>
    </row>
    <row r="543" spans="1:7" ht="20.100000000000001" customHeight="1">
      <c r="A543" s="200"/>
      <c r="B543" s="150"/>
      <c r="C543" s="150"/>
      <c r="D543" s="151"/>
      <c r="E543" s="151"/>
      <c r="F543" s="151"/>
      <c r="G543" s="152"/>
    </row>
    <row r="544" spans="1:7" ht="20.100000000000001" customHeight="1">
      <c r="A544" s="200" t="s">
        <v>948</v>
      </c>
      <c r="B544" s="123" t="s">
        <v>606</v>
      </c>
      <c r="C544" s="123" t="s">
        <v>157</v>
      </c>
      <c r="D544" s="124">
        <v>1</v>
      </c>
      <c r="E544" s="125" t="s">
        <v>163</v>
      </c>
      <c r="F544" s="126">
        <v>64300</v>
      </c>
      <c r="G544" s="127">
        <f t="shared" ref="G544:G570" si="10">ROUNDDOWN(D544*F544,0)</f>
        <v>64300</v>
      </c>
    </row>
    <row r="545" spans="1:7" ht="20.100000000000001" customHeight="1">
      <c r="A545" s="200" t="s">
        <v>949</v>
      </c>
      <c r="B545" s="123" t="s">
        <v>607</v>
      </c>
      <c r="C545" s="123" t="s">
        <v>608</v>
      </c>
      <c r="D545" s="124">
        <v>17</v>
      </c>
      <c r="E545" s="125" t="s">
        <v>219</v>
      </c>
      <c r="F545" s="162">
        <v>3200</v>
      </c>
      <c r="G545" s="127">
        <f t="shared" si="10"/>
        <v>54400</v>
      </c>
    </row>
    <row r="546" spans="1:7" ht="20.100000000000001" customHeight="1">
      <c r="A546" s="200" t="s">
        <v>950</v>
      </c>
      <c r="B546" s="123" t="s">
        <v>611</v>
      </c>
      <c r="C546" s="123" t="s">
        <v>608</v>
      </c>
      <c r="D546" s="124">
        <v>12</v>
      </c>
      <c r="E546" s="125" t="s">
        <v>219</v>
      </c>
      <c r="F546" s="162">
        <v>3600</v>
      </c>
      <c r="G546" s="127">
        <f t="shared" si="10"/>
        <v>43200</v>
      </c>
    </row>
    <row r="547" spans="1:7" ht="20.100000000000001" customHeight="1">
      <c r="A547" s="200" t="s">
        <v>951</v>
      </c>
      <c r="B547" s="123" t="s">
        <v>614</v>
      </c>
      <c r="C547" s="123" t="s">
        <v>157</v>
      </c>
      <c r="D547" s="124">
        <v>38</v>
      </c>
      <c r="E547" s="125" t="s">
        <v>219</v>
      </c>
      <c r="F547" s="162">
        <v>3200</v>
      </c>
      <c r="G547" s="127">
        <f t="shared" si="10"/>
        <v>121600</v>
      </c>
    </row>
    <row r="548" spans="1:7" ht="20.100000000000001" customHeight="1">
      <c r="A548" s="200" t="s">
        <v>952</v>
      </c>
      <c r="B548" s="123" t="s">
        <v>617</v>
      </c>
      <c r="C548" s="123" t="s">
        <v>618</v>
      </c>
      <c r="D548" s="124">
        <v>22</v>
      </c>
      <c r="E548" s="125" t="s">
        <v>219</v>
      </c>
      <c r="F548" s="162">
        <v>3200</v>
      </c>
      <c r="G548" s="127">
        <f t="shared" si="10"/>
        <v>70400</v>
      </c>
    </row>
    <row r="549" spans="1:7" ht="20.100000000000001" customHeight="1">
      <c r="A549" s="200" t="s">
        <v>953</v>
      </c>
      <c r="B549" s="123" t="s">
        <v>621</v>
      </c>
      <c r="C549" s="123" t="s">
        <v>622</v>
      </c>
      <c r="D549" s="124">
        <v>6</v>
      </c>
      <c r="E549" s="125" t="s">
        <v>219</v>
      </c>
      <c r="F549" s="162">
        <v>6500</v>
      </c>
      <c r="G549" s="127">
        <f t="shared" si="10"/>
        <v>39000</v>
      </c>
    </row>
    <row r="550" spans="1:7" ht="20.100000000000001" customHeight="1">
      <c r="A550" s="200" t="s">
        <v>954</v>
      </c>
      <c r="B550" s="123" t="s">
        <v>625</v>
      </c>
      <c r="C550" s="123" t="s">
        <v>626</v>
      </c>
      <c r="D550" s="124">
        <v>2</v>
      </c>
      <c r="E550" s="125" t="s">
        <v>219</v>
      </c>
      <c r="F550" s="162">
        <v>9300</v>
      </c>
      <c r="G550" s="127">
        <f t="shared" si="10"/>
        <v>18600</v>
      </c>
    </row>
    <row r="551" spans="1:7" ht="20.100000000000001" customHeight="1">
      <c r="A551" s="200" t="s">
        <v>955</v>
      </c>
      <c r="B551" s="123" t="s">
        <v>629</v>
      </c>
      <c r="C551" s="123" t="s">
        <v>630</v>
      </c>
      <c r="D551" s="124">
        <v>1</v>
      </c>
      <c r="E551" s="125" t="s">
        <v>219</v>
      </c>
      <c r="F551" s="126">
        <v>6500</v>
      </c>
      <c r="G551" s="127">
        <f t="shared" si="10"/>
        <v>6500</v>
      </c>
    </row>
    <row r="552" spans="1:7" ht="20.100000000000001" customHeight="1">
      <c r="A552" s="200" t="s">
        <v>956</v>
      </c>
      <c r="B552" s="123" t="s">
        <v>633</v>
      </c>
      <c r="C552" s="123" t="s">
        <v>157</v>
      </c>
      <c r="D552" s="124">
        <v>6</v>
      </c>
      <c r="E552" s="125" t="s">
        <v>219</v>
      </c>
      <c r="F552" s="162">
        <v>9300</v>
      </c>
      <c r="G552" s="127">
        <f t="shared" si="10"/>
        <v>55800</v>
      </c>
    </row>
    <row r="553" spans="1:7" ht="20.100000000000001" customHeight="1">
      <c r="A553" s="200" t="s">
        <v>957</v>
      </c>
      <c r="B553" s="123" t="s">
        <v>635</v>
      </c>
      <c r="C553" s="123" t="s">
        <v>157</v>
      </c>
      <c r="D553" s="124">
        <v>6</v>
      </c>
      <c r="E553" s="125" t="s">
        <v>219</v>
      </c>
      <c r="F553" s="162">
        <v>12200</v>
      </c>
      <c r="G553" s="127">
        <f t="shared" si="10"/>
        <v>73200</v>
      </c>
    </row>
    <row r="554" spans="1:7" ht="20.100000000000001" customHeight="1">
      <c r="A554" s="200" t="s">
        <v>958</v>
      </c>
      <c r="B554" s="123" t="s">
        <v>636</v>
      </c>
      <c r="C554" s="123" t="s">
        <v>637</v>
      </c>
      <c r="D554" s="124">
        <v>1</v>
      </c>
      <c r="E554" s="125" t="s">
        <v>219</v>
      </c>
      <c r="F554" s="126">
        <v>11500</v>
      </c>
      <c r="G554" s="127">
        <f t="shared" si="10"/>
        <v>11500</v>
      </c>
    </row>
    <row r="555" spans="1:7" ht="20.100000000000001" customHeight="1">
      <c r="A555" s="200" t="s">
        <v>959</v>
      </c>
      <c r="B555" s="123" t="s">
        <v>638</v>
      </c>
      <c r="C555" s="123" t="s">
        <v>157</v>
      </c>
      <c r="D555" s="124">
        <v>2</v>
      </c>
      <c r="E555" s="125" t="s">
        <v>219</v>
      </c>
      <c r="F555" s="162">
        <v>7600</v>
      </c>
      <c r="G555" s="127">
        <f t="shared" si="10"/>
        <v>15200</v>
      </c>
    </row>
    <row r="556" spans="1:7" ht="20.100000000000001" customHeight="1">
      <c r="A556" s="200" t="s">
        <v>960</v>
      </c>
      <c r="B556" s="123" t="s">
        <v>639</v>
      </c>
      <c r="C556" s="123" t="s">
        <v>640</v>
      </c>
      <c r="D556" s="124">
        <v>1</v>
      </c>
      <c r="E556" s="125" t="s">
        <v>163</v>
      </c>
      <c r="F556" s="126">
        <v>7200</v>
      </c>
      <c r="G556" s="127">
        <f t="shared" si="10"/>
        <v>7200</v>
      </c>
    </row>
    <row r="557" spans="1:7" ht="20.100000000000001" customHeight="1">
      <c r="A557" s="200" t="s">
        <v>961</v>
      </c>
      <c r="B557" s="123" t="s">
        <v>641</v>
      </c>
      <c r="C557" s="123" t="s">
        <v>642</v>
      </c>
      <c r="D557" s="124">
        <v>1</v>
      </c>
      <c r="E557" s="125" t="s">
        <v>219</v>
      </c>
      <c r="F557" s="126">
        <v>10800</v>
      </c>
      <c r="G557" s="127">
        <f t="shared" si="10"/>
        <v>10800</v>
      </c>
    </row>
    <row r="558" spans="1:7" ht="20.100000000000001" customHeight="1">
      <c r="A558" s="200" t="s">
        <v>962</v>
      </c>
      <c r="B558" s="123" t="s">
        <v>643</v>
      </c>
      <c r="C558" s="123" t="s">
        <v>644</v>
      </c>
      <c r="D558" s="124">
        <v>7</v>
      </c>
      <c r="E558" s="125" t="s">
        <v>219</v>
      </c>
      <c r="F558" s="162">
        <v>10000</v>
      </c>
      <c r="G558" s="127">
        <f t="shared" si="10"/>
        <v>70000</v>
      </c>
    </row>
    <row r="559" spans="1:7" ht="20.100000000000001" customHeight="1">
      <c r="A559" s="200" t="s">
        <v>963</v>
      </c>
      <c r="B559" s="123" t="s">
        <v>643</v>
      </c>
      <c r="C559" s="123" t="s">
        <v>647</v>
      </c>
      <c r="D559" s="124">
        <v>7</v>
      </c>
      <c r="E559" s="125" t="s">
        <v>219</v>
      </c>
      <c r="F559" s="162">
        <v>1150</v>
      </c>
      <c r="G559" s="127">
        <f t="shared" si="10"/>
        <v>8050</v>
      </c>
    </row>
    <row r="560" spans="1:7" ht="20.100000000000001" customHeight="1">
      <c r="A560" s="200" t="s">
        <v>964</v>
      </c>
      <c r="B560" s="141" t="s">
        <v>648</v>
      </c>
      <c r="C560" s="141" t="s">
        <v>649</v>
      </c>
      <c r="D560" s="142">
        <v>2</v>
      </c>
      <c r="E560" s="143" t="s">
        <v>219</v>
      </c>
      <c r="F560" s="171">
        <v>10000</v>
      </c>
      <c r="G560" s="145">
        <f t="shared" si="10"/>
        <v>20000</v>
      </c>
    </row>
    <row r="561" spans="1:7" ht="20.100000000000001" customHeight="1" thickBot="1">
      <c r="A561" s="203" t="s">
        <v>965</v>
      </c>
      <c r="B561" s="128" t="s">
        <v>650</v>
      </c>
      <c r="C561" s="128" t="s">
        <v>157</v>
      </c>
      <c r="D561" s="129">
        <v>1</v>
      </c>
      <c r="E561" s="130" t="s">
        <v>163</v>
      </c>
      <c r="F561" s="131">
        <v>50000</v>
      </c>
      <c r="G561" s="132">
        <f t="shared" si="10"/>
        <v>50000</v>
      </c>
    </row>
    <row r="562" spans="1:7" ht="20.100000000000001" customHeight="1">
      <c r="A562" s="202" t="s">
        <v>966</v>
      </c>
      <c r="B562" s="136" t="s">
        <v>651</v>
      </c>
      <c r="C562" s="136" t="s">
        <v>157</v>
      </c>
      <c r="D562" s="137">
        <v>1</v>
      </c>
      <c r="E562" s="138" t="s">
        <v>163</v>
      </c>
      <c r="F562" s="139">
        <v>14300</v>
      </c>
      <c r="G562" s="140">
        <f t="shared" si="10"/>
        <v>14300</v>
      </c>
    </row>
    <row r="563" spans="1:7" ht="20.100000000000001" customHeight="1">
      <c r="A563" s="200" t="s">
        <v>967</v>
      </c>
      <c r="B563" s="123" t="s">
        <v>652</v>
      </c>
      <c r="C563" s="123" t="s">
        <v>653</v>
      </c>
      <c r="D563" s="124">
        <v>1</v>
      </c>
      <c r="E563" s="125" t="s">
        <v>257</v>
      </c>
      <c r="F563" s="126">
        <v>14800</v>
      </c>
      <c r="G563" s="127">
        <f t="shared" si="10"/>
        <v>14800</v>
      </c>
    </row>
    <row r="564" spans="1:7" ht="20.100000000000001" customHeight="1">
      <c r="A564" s="200" t="s">
        <v>968</v>
      </c>
      <c r="B564" s="123" t="s">
        <v>654</v>
      </c>
      <c r="C564" s="123" t="s">
        <v>157</v>
      </c>
      <c r="D564" s="124">
        <v>1</v>
      </c>
      <c r="E564" s="125" t="s">
        <v>219</v>
      </c>
      <c r="F564" s="126">
        <v>4300</v>
      </c>
      <c r="G564" s="127">
        <f t="shared" si="10"/>
        <v>4300</v>
      </c>
    </row>
    <row r="565" spans="1:7" ht="20.100000000000001" customHeight="1">
      <c r="A565" s="200" t="s">
        <v>969</v>
      </c>
      <c r="B565" s="123" t="s">
        <v>655</v>
      </c>
      <c r="C565" s="123" t="s">
        <v>157</v>
      </c>
      <c r="D565" s="124">
        <v>1</v>
      </c>
      <c r="E565" s="125" t="s">
        <v>163</v>
      </c>
      <c r="F565" s="126">
        <v>214300</v>
      </c>
      <c r="G565" s="127">
        <f t="shared" si="10"/>
        <v>214300</v>
      </c>
    </row>
    <row r="566" spans="1:7" ht="20.100000000000001" customHeight="1">
      <c r="A566" s="200" t="s">
        <v>970</v>
      </c>
      <c r="B566" s="123" t="s">
        <v>656</v>
      </c>
      <c r="C566" s="123" t="s">
        <v>157</v>
      </c>
      <c r="D566" s="124">
        <v>1</v>
      </c>
      <c r="E566" s="125" t="s">
        <v>163</v>
      </c>
      <c r="F566" s="126">
        <v>45800</v>
      </c>
      <c r="G566" s="127">
        <f t="shared" si="10"/>
        <v>45800</v>
      </c>
    </row>
    <row r="567" spans="1:7" ht="20.100000000000001" customHeight="1">
      <c r="A567" s="200" t="s">
        <v>971</v>
      </c>
      <c r="B567" s="123" t="s">
        <v>659</v>
      </c>
      <c r="C567" s="123" t="s">
        <v>660</v>
      </c>
      <c r="D567" s="124">
        <v>1</v>
      </c>
      <c r="E567" s="125" t="s">
        <v>163</v>
      </c>
      <c r="F567" s="126">
        <v>85800</v>
      </c>
      <c r="G567" s="127">
        <f t="shared" si="10"/>
        <v>85800</v>
      </c>
    </row>
    <row r="568" spans="1:7" ht="20.100000000000001" customHeight="1">
      <c r="A568" s="200" t="s">
        <v>972</v>
      </c>
      <c r="B568" s="123" t="s">
        <v>662</v>
      </c>
      <c r="C568" s="123" t="s">
        <v>663</v>
      </c>
      <c r="D568" s="124">
        <v>1</v>
      </c>
      <c r="E568" s="125" t="s">
        <v>200</v>
      </c>
      <c r="F568" s="126">
        <v>58000</v>
      </c>
      <c r="G568" s="127">
        <f t="shared" si="10"/>
        <v>58000</v>
      </c>
    </row>
    <row r="569" spans="1:7" ht="20.100000000000001" customHeight="1">
      <c r="A569" s="200" t="s">
        <v>973</v>
      </c>
      <c r="B569" s="123" t="s">
        <v>664</v>
      </c>
      <c r="C569" s="123" t="s">
        <v>157</v>
      </c>
      <c r="D569" s="124">
        <v>1</v>
      </c>
      <c r="E569" s="125" t="s">
        <v>163</v>
      </c>
      <c r="F569" s="126">
        <v>38000</v>
      </c>
      <c r="G569" s="127">
        <f t="shared" si="10"/>
        <v>38000</v>
      </c>
    </row>
    <row r="570" spans="1:7" ht="20.100000000000001" customHeight="1">
      <c r="A570" s="200" t="s">
        <v>974</v>
      </c>
      <c r="B570" s="123" t="s">
        <v>665</v>
      </c>
      <c r="C570" s="123" t="s">
        <v>157</v>
      </c>
      <c r="D570" s="124">
        <v>1</v>
      </c>
      <c r="E570" s="125" t="s">
        <v>163</v>
      </c>
      <c r="F570" s="126">
        <v>28600</v>
      </c>
      <c r="G570" s="127">
        <f t="shared" si="10"/>
        <v>28600</v>
      </c>
    </row>
    <row r="571" spans="1:7" ht="20.100000000000001" customHeight="1">
      <c r="A571" s="200"/>
      <c r="B571" s="254" t="s">
        <v>999</v>
      </c>
      <c r="C571" s="255"/>
      <c r="D571" s="124"/>
      <c r="E571" s="125"/>
      <c r="F571" s="126"/>
      <c r="G571" s="127"/>
    </row>
    <row r="572" spans="1:7" ht="20.100000000000001" customHeight="1">
      <c r="A572" s="200"/>
      <c r="B572" s="150"/>
      <c r="C572" s="150"/>
      <c r="D572" s="151"/>
      <c r="E572" s="151"/>
      <c r="F572" s="151"/>
      <c r="G572" s="152"/>
    </row>
    <row r="573" spans="1:7" ht="20.100000000000001" customHeight="1">
      <c r="A573" s="200"/>
      <c r="B573" s="150"/>
      <c r="C573" s="150"/>
      <c r="D573" s="151"/>
      <c r="E573" s="151"/>
      <c r="F573" s="151"/>
      <c r="G573" s="152"/>
    </row>
    <row r="574" spans="1:7" ht="20.100000000000001" customHeight="1">
      <c r="A574" s="200"/>
      <c r="B574" s="150"/>
      <c r="C574" s="150"/>
      <c r="D574" s="151"/>
      <c r="E574" s="151"/>
      <c r="F574" s="151"/>
      <c r="G574" s="152"/>
    </row>
    <row r="575" spans="1:7" ht="20.100000000000001" customHeight="1">
      <c r="A575" s="200"/>
      <c r="B575" s="150"/>
      <c r="C575" s="150"/>
      <c r="D575" s="151"/>
      <c r="E575" s="151"/>
      <c r="F575" s="151"/>
      <c r="G575" s="152"/>
    </row>
    <row r="576" spans="1:7" ht="20.100000000000001" customHeight="1">
      <c r="A576" s="200"/>
      <c r="B576" s="150"/>
      <c r="C576" s="150"/>
      <c r="D576" s="151"/>
      <c r="E576" s="151"/>
      <c r="F576" s="151"/>
      <c r="G576" s="152"/>
    </row>
    <row r="577" spans="1:7" ht="20.100000000000001" customHeight="1">
      <c r="A577" s="200"/>
      <c r="B577" s="150"/>
      <c r="C577" s="150"/>
      <c r="D577" s="151"/>
      <c r="E577" s="151"/>
      <c r="F577" s="151"/>
      <c r="G577" s="152"/>
    </row>
    <row r="578" spans="1:7" ht="20.100000000000001" customHeight="1">
      <c r="A578" s="200"/>
      <c r="B578" s="150"/>
      <c r="C578" s="150"/>
      <c r="D578" s="151"/>
      <c r="E578" s="151"/>
      <c r="F578" s="151"/>
      <c r="G578" s="152"/>
    </row>
    <row r="579" spans="1:7" ht="20.100000000000001" customHeight="1">
      <c r="A579" s="200"/>
      <c r="B579" s="150"/>
      <c r="C579" s="150"/>
      <c r="D579" s="151"/>
      <c r="E579" s="151"/>
      <c r="F579" s="151"/>
      <c r="G579" s="152"/>
    </row>
    <row r="580" spans="1:7" ht="20.100000000000001" customHeight="1">
      <c r="A580" s="199"/>
      <c r="B580" s="163"/>
      <c r="C580" s="163"/>
      <c r="D580" s="164"/>
      <c r="E580" s="164"/>
      <c r="F580" s="164"/>
      <c r="G580" s="165"/>
    </row>
    <row r="581" spans="1:7" ht="20.100000000000001" customHeight="1" thickBot="1">
      <c r="A581" s="198"/>
      <c r="B581" s="157" t="s">
        <v>728</v>
      </c>
      <c r="C581" s="158"/>
      <c r="D581" s="159"/>
      <c r="E581" s="159"/>
      <c r="F581" s="159"/>
      <c r="G581" s="160">
        <f>SUM(G543:G580)</f>
        <v>1243650</v>
      </c>
    </row>
    <row r="582" spans="1:7" ht="20.100000000000001" customHeight="1">
      <c r="A582" s="202" t="s">
        <v>762</v>
      </c>
      <c r="B582" s="166" t="s">
        <v>668</v>
      </c>
      <c r="C582" s="167"/>
      <c r="D582" s="168"/>
      <c r="E582" s="168"/>
      <c r="F582" s="168"/>
      <c r="G582" s="169"/>
    </row>
    <row r="583" spans="1:7" ht="20.100000000000001" customHeight="1">
      <c r="A583" s="200"/>
      <c r="B583" s="150"/>
      <c r="C583" s="150"/>
      <c r="D583" s="151"/>
      <c r="E583" s="151"/>
      <c r="F583" s="151"/>
      <c r="G583" s="152"/>
    </row>
    <row r="584" spans="1:7" ht="20.100000000000001" customHeight="1">
      <c r="A584" s="200" t="s">
        <v>975</v>
      </c>
      <c r="B584" s="123" t="s">
        <v>669</v>
      </c>
      <c r="C584" s="123" t="s">
        <v>670</v>
      </c>
      <c r="D584" s="124">
        <v>1</v>
      </c>
      <c r="E584" s="125" t="s">
        <v>257</v>
      </c>
      <c r="F584" s="126">
        <v>164000</v>
      </c>
      <c r="G584" s="127">
        <f t="shared" ref="G584:G589" si="11">ROUNDDOWN(D584*F584,0)</f>
        <v>164000</v>
      </c>
    </row>
    <row r="585" spans="1:7" ht="20.100000000000001" customHeight="1">
      <c r="A585" s="200" t="s">
        <v>976</v>
      </c>
      <c r="B585" s="123" t="s">
        <v>669</v>
      </c>
      <c r="C585" s="123" t="s">
        <v>672</v>
      </c>
      <c r="D585" s="124">
        <v>34.880000000000003</v>
      </c>
      <c r="E585" s="125" t="s">
        <v>213</v>
      </c>
      <c r="F585" s="162">
        <v>2900</v>
      </c>
      <c r="G585" s="127">
        <f t="shared" si="11"/>
        <v>101152</v>
      </c>
    </row>
    <row r="586" spans="1:7" ht="20.100000000000001" customHeight="1">
      <c r="A586" s="200" t="s">
        <v>977</v>
      </c>
      <c r="B586" s="123" t="s">
        <v>669</v>
      </c>
      <c r="C586" s="123" t="s">
        <v>673</v>
      </c>
      <c r="D586" s="124">
        <v>1</v>
      </c>
      <c r="E586" s="125" t="s">
        <v>163</v>
      </c>
      <c r="F586" s="126">
        <v>186000</v>
      </c>
      <c r="G586" s="127">
        <f t="shared" si="11"/>
        <v>186000</v>
      </c>
    </row>
    <row r="587" spans="1:7" ht="20.100000000000001" customHeight="1">
      <c r="A587" s="200" t="s">
        <v>978</v>
      </c>
      <c r="B587" s="123" t="s">
        <v>669</v>
      </c>
      <c r="C587" s="123" t="s">
        <v>674</v>
      </c>
      <c r="D587" s="124">
        <v>2</v>
      </c>
      <c r="E587" s="125" t="s">
        <v>219</v>
      </c>
      <c r="F587" s="162">
        <v>3200</v>
      </c>
      <c r="G587" s="127">
        <f t="shared" si="11"/>
        <v>6400</v>
      </c>
    </row>
    <row r="588" spans="1:7" ht="20.100000000000001" customHeight="1">
      <c r="A588" s="200" t="s">
        <v>979</v>
      </c>
      <c r="B588" s="123" t="s">
        <v>675</v>
      </c>
      <c r="C588" s="123" t="s">
        <v>676</v>
      </c>
      <c r="D588" s="124">
        <v>5</v>
      </c>
      <c r="E588" s="125" t="s">
        <v>347</v>
      </c>
      <c r="F588" s="162">
        <v>1300</v>
      </c>
      <c r="G588" s="127">
        <f t="shared" si="11"/>
        <v>6500</v>
      </c>
    </row>
    <row r="589" spans="1:7" ht="20.100000000000001" customHeight="1">
      <c r="A589" s="200" t="s">
        <v>980</v>
      </c>
      <c r="B589" s="123" t="s">
        <v>679</v>
      </c>
      <c r="C589" s="123" t="s">
        <v>680</v>
      </c>
      <c r="D589" s="124">
        <v>2</v>
      </c>
      <c r="E589" s="125" t="s">
        <v>347</v>
      </c>
      <c r="F589" s="162">
        <v>4000</v>
      </c>
      <c r="G589" s="127">
        <f t="shared" si="11"/>
        <v>8000</v>
      </c>
    </row>
    <row r="590" spans="1:7" ht="20.100000000000001" customHeight="1">
      <c r="A590" s="200"/>
      <c r="B590" s="150"/>
      <c r="C590" s="150"/>
      <c r="D590" s="151"/>
      <c r="E590" s="151"/>
      <c r="F590" s="151"/>
      <c r="G590" s="152"/>
    </row>
    <row r="591" spans="1:7" ht="20.100000000000001" customHeight="1">
      <c r="A591" s="200"/>
      <c r="B591" s="150"/>
      <c r="C591" s="150"/>
      <c r="D591" s="151"/>
      <c r="E591" s="151"/>
      <c r="F591" s="151"/>
      <c r="G591" s="152"/>
    </row>
    <row r="592" spans="1:7" ht="20.100000000000001" customHeight="1">
      <c r="A592" s="200"/>
      <c r="B592" s="150"/>
      <c r="C592" s="150"/>
      <c r="D592" s="151"/>
      <c r="E592" s="151"/>
      <c r="F592" s="151"/>
      <c r="G592" s="152"/>
    </row>
    <row r="593" spans="1:7" ht="20.100000000000001" customHeight="1">
      <c r="A593" s="200"/>
      <c r="B593" s="150"/>
      <c r="C593" s="150"/>
      <c r="D593" s="151"/>
      <c r="E593" s="151"/>
      <c r="F593" s="151"/>
      <c r="G593" s="152"/>
    </row>
    <row r="594" spans="1:7" ht="20.100000000000001" customHeight="1">
      <c r="A594" s="200"/>
      <c r="B594" s="150"/>
      <c r="C594" s="150"/>
      <c r="D594" s="151"/>
      <c r="E594" s="151"/>
      <c r="F594" s="151"/>
      <c r="G594" s="152"/>
    </row>
    <row r="595" spans="1:7" ht="20.100000000000001" customHeight="1">
      <c r="A595" s="200"/>
      <c r="B595" s="150"/>
      <c r="C595" s="150"/>
      <c r="D595" s="151"/>
      <c r="E595" s="151"/>
      <c r="F595" s="151"/>
      <c r="G595" s="152"/>
    </row>
    <row r="596" spans="1:7" ht="20.100000000000001" customHeight="1">
      <c r="A596" s="200"/>
      <c r="B596" s="150"/>
      <c r="C596" s="150"/>
      <c r="D596" s="151"/>
      <c r="E596" s="151"/>
      <c r="F596" s="151"/>
      <c r="G596" s="152"/>
    </row>
    <row r="597" spans="1:7" ht="20.100000000000001" customHeight="1">
      <c r="A597" s="200"/>
      <c r="B597" s="150"/>
      <c r="C597" s="150"/>
      <c r="D597" s="151"/>
      <c r="E597" s="151"/>
      <c r="F597" s="151"/>
      <c r="G597" s="152"/>
    </row>
    <row r="598" spans="1:7" ht="20.100000000000001" customHeight="1">
      <c r="A598" s="200"/>
      <c r="B598" s="150"/>
      <c r="C598" s="150"/>
      <c r="D598" s="151"/>
      <c r="E598" s="151"/>
      <c r="F598" s="151"/>
      <c r="G598" s="152"/>
    </row>
    <row r="599" spans="1:7" ht="20.100000000000001" customHeight="1">
      <c r="A599" s="200"/>
      <c r="B599" s="150"/>
      <c r="C599" s="150"/>
      <c r="D599" s="151"/>
      <c r="E599" s="151"/>
      <c r="F599" s="151"/>
      <c r="G599" s="152"/>
    </row>
    <row r="600" spans="1:7" ht="20.100000000000001" customHeight="1">
      <c r="A600" s="199"/>
      <c r="B600" s="163"/>
      <c r="C600" s="163"/>
      <c r="D600" s="164"/>
      <c r="E600" s="164"/>
      <c r="F600" s="164"/>
      <c r="G600" s="165"/>
    </row>
    <row r="601" spans="1:7" ht="20.100000000000001" customHeight="1" thickBot="1">
      <c r="A601" s="198"/>
      <c r="B601" s="157" t="s">
        <v>728</v>
      </c>
      <c r="C601" s="158"/>
      <c r="D601" s="159"/>
      <c r="E601" s="159"/>
      <c r="F601" s="159"/>
      <c r="G601" s="160">
        <f>SUM(G583:G600)</f>
        <v>472052</v>
      </c>
    </row>
    <row r="602" spans="1:7" ht="20.100000000000001" customHeight="1">
      <c r="A602" s="202" t="s">
        <v>763</v>
      </c>
      <c r="B602" s="166" t="s">
        <v>682</v>
      </c>
      <c r="C602" s="167"/>
      <c r="D602" s="168"/>
      <c r="E602" s="168"/>
      <c r="F602" s="168"/>
      <c r="G602" s="169"/>
    </row>
    <row r="603" spans="1:7" ht="20.100000000000001" customHeight="1">
      <c r="A603" s="200"/>
      <c r="B603" s="150"/>
      <c r="C603" s="150"/>
      <c r="D603" s="151"/>
      <c r="E603" s="151"/>
      <c r="F603" s="151"/>
      <c r="G603" s="152"/>
    </row>
    <row r="604" spans="1:7" ht="20.100000000000001" customHeight="1">
      <c r="A604" s="200" t="s">
        <v>981</v>
      </c>
      <c r="B604" s="123" t="s">
        <v>683</v>
      </c>
      <c r="C604" s="123" t="s">
        <v>684</v>
      </c>
      <c r="D604" s="124">
        <v>1</v>
      </c>
      <c r="E604" s="125" t="s">
        <v>200</v>
      </c>
      <c r="F604" s="126">
        <v>175000</v>
      </c>
      <c r="G604" s="127">
        <f>ROUNDDOWN(D604*F604,0)</f>
        <v>175000</v>
      </c>
    </row>
    <row r="605" spans="1:7" ht="20.100000000000001" customHeight="1">
      <c r="A605" s="200" t="s">
        <v>982</v>
      </c>
      <c r="B605" s="123" t="s">
        <v>685</v>
      </c>
      <c r="C605" s="123" t="s">
        <v>686</v>
      </c>
      <c r="D605" s="124">
        <v>1</v>
      </c>
      <c r="E605" s="125" t="s">
        <v>200</v>
      </c>
      <c r="F605" s="126">
        <v>152000</v>
      </c>
      <c r="G605" s="127">
        <f>ROUNDDOWN(D605*F605,0)</f>
        <v>152000</v>
      </c>
    </row>
    <row r="606" spans="1:7" ht="20.100000000000001" customHeight="1">
      <c r="A606" s="200"/>
      <c r="B606" s="123" t="s">
        <v>687</v>
      </c>
      <c r="C606" s="123" t="s">
        <v>157</v>
      </c>
      <c r="D606" s="124"/>
      <c r="E606" s="125"/>
      <c r="F606" s="126"/>
      <c r="G606" s="127"/>
    </row>
    <row r="607" spans="1:7" ht="20.100000000000001" customHeight="1">
      <c r="A607" s="200" t="s">
        <v>983</v>
      </c>
      <c r="B607" s="123" t="s">
        <v>688</v>
      </c>
      <c r="C607" s="123" t="s">
        <v>689</v>
      </c>
      <c r="D607" s="124">
        <v>2</v>
      </c>
      <c r="E607" s="125" t="s">
        <v>347</v>
      </c>
      <c r="F607" s="162">
        <v>5000</v>
      </c>
      <c r="G607" s="127">
        <f>ROUNDDOWN(D607*F607,0)</f>
        <v>10000</v>
      </c>
    </row>
    <row r="608" spans="1:7" ht="20.100000000000001" customHeight="1">
      <c r="A608" s="200" t="s">
        <v>984</v>
      </c>
      <c r="B608" s="123" t="s">
        <v>333</v>
      </c>
      <c r="C608" s="123" t="s">
        <v>690</v>
      </c>
      <c r="D608" s="124">
        <v>1</v>
      </c>
      <c r="E608" s="125" t="s">
        <v>219</v>
      </c>
      <c r="F608" s="126">
        <v>14500</v>
      </c>
      <c r="G608" s="127">
        <f>ROUNDDOWN(D608*F608,0)</f>
        <v>14500</v>
      </c>
    </row>
    <row r="609" spans="1:7" ht="20.100000000000001" customHeight="1">
      <c r="A609" s="200"/>
      <c r="B609" s="150"/>
      <c r="C609" s="150"/>
      <c r="D609" s="151"/>
      <c r="E609" s="151"/>
      <c r="F609" s="151"/>
      <c r="G609" s="152"/>
    </row>
    <row r="610" spans="1:7" ht="20.100000000000001" customHeight="1">
      <c r="A610" s="200"/>
      <c r="B610" s="150"/>
      <c r="C610" s="150"/>
      <c r="D610" s="151"/>
      <c r="E610" s="151"/>
      <c r="F610" s="151"/>
      <c r="G610" s="152"/>
    </row>
    <row r="611" spans="1:7" ht="20.100000000000001" customHeight="1">
      <c r="A611" s="200"/>
      <c r="B611" s="150"/>
      <c r="C611" s="150"/>
      <c r="D611" s="151"/>
      <c r="E611" s="151"/>
      <c r="F611" s="151"/>
      <c r="G611" s="152"/>
    </row>
    <row r="612" spans="1:7" ht="20.100000000000001" customHeight="1">
      <c r="A612" s="200"/>
      <c r="B612" s="150"/>
      <c r="C612" s="150"/>
      <c r="D612" s="151"/>
      <c r="E612" s="151"/>
      <c r="F612" s="151"/>
      <c r="G612" s="152"/>
    </row>
    <row r="613" spans="1:7" ht="20.100000000000001" customHeight="1">
      <c r="A613" s="200"/>
      <c r="B613" s="150"/>
      <c r="C613" s="150"/>
      <c r="D613" s="151"/>
      <c r="E613" s="151"/>
      <c r="F613" s="151"/>
      <c r="G613" s="152"/>
    </row>
    <row r="614" spans="1:7" ht="20.100000000000001" customHeight="1">
      <c r="A614" s="200"/>
      <c r="B614" s="150"/>
      <c r="C614" s="150"/>
      <c r="D614" s="151"/>
      <c r="E614" s="151"/>
      <c r="F614" s="151"/>
      <c r="G614" s="152"/>
    </row>
    <row r="615" spans="1:7" ht="20.100000000000001" customHeight="1">
      <c r="A615" s="200"/>
      <c r="B615" s="150"/>
      <c r="C615" s="150"/>
      <c r="D615" s="151"/>
      <c r="E615" s="151"/>
      <c r="F615" s="151"/>
      <c r="G615" s="152"/>
    </row>
    <row r="616" spans="1:7" ht="20.100000000000001" customHeight="1">
      <c r="A616" s="200"/>
      <c r="B616" s="150"/>
      <c r="C616" s="150"/>
      <c r="D616" s="151"/>
      <c r="E616" s="151"/>
      <c r="F616" s="151"/>
      <c r="G616" s="152"/>
    </row>
    <row r="617" spans="1:7" ht="20.100000000000001" customHeight="1">
      <c r="A617" s="200"/>
      <c r="B617" s="150"/>
      <c r="C617" s="150"/>
      <c r="D617" s="151"/>
      <c r="E617" s="151"/>
      <c r="F617" s="151"/>
      <c r="G617" s="152"/>
    </row>
    <row r="618" spans="1:7" ht="20.100000000000001" customHeight="1">
      <c r="A618" s="200"/>
      <c r="B618" s="150"/>
      <c r="C618" s="150"/>
      <c r="D618" s="151"/>
      <c r="E618" s="151"/>
      <c r="F618" s="151"/>
      <c r="G618" s="152"/>
    </row>
    <row r="619" spans="1:7" ht="20.100000000000001" customHeight="1">
      <c r="A619" s="200"/>
      <c r="B619" s="150"/>
      <c r="C619" s="150"/>
      <c r="D619" s="151"/>
      <c r="E619" s="151"/>
      <c r="F619" s="151"/>
      <c r="G619" s="152"/>
    </row>
    <row r="620" spans="1:7" ht="20.100000000000001" customHeight="1">
      <c r="A620" s="199"/>
      <c r="B620" s="163"/>
      <c r="C620" s="163"/>
      <c r="D620" s="164"/>
      <c r="E620" s="164"/>
      <c r="F620" s="164"/>
      <c r="G620" s="165"/>
    </row>
    <row r="621" spans="1:7" ht="20.100000000000001" customHeight="1" thickBot="1">
      <c r="A621" s="198"/>
      <c r="B621" s="157" t="s">
        <v>728</v>
      </c>
      <c r="C621" s="158"/>
      <c r="D621" s="159"/>
      <c r="E621" s="159"/>
      <c r="F621" s="159"/>
      <c r="G621" s="160">
        <f>SUM(G603:G620)</f>
        <v>351500</v>
      </c>
    </row>
    <row r="622" spans="1:7" ht="20.100000000000001" customHeight="1">
      <c r="A622" s="202" t="s">
        <v>764</v>
      </c>
      <c r="B622" s="166" t="s">
        <v>691</v>
      </c>
      <c r="C622" s="167"/>
      <c r="D622" s="168"/>
      <c r="E622" s="168"/>
      <c r="F622" s="168"/>
      <c r="G622" s="169"/>
    </row>
    <row r="623" spans="1:7" ht="20.100000000000001" customHeight="1">
      <c r="A623" s="200"/>
      <c r="B623" s="150"/>
      <c r="C623" s="150"/>
      <c r="D623" s="151"/>
      <c r="E623" s="151"/>
      <c r="F623" s="151"/>
      <c r="G623" s="152"/>
    </row>
    <row r="624" spans="1:7" ht="20.100000000000001" customHeight="1">
      <c r="A624" s="200" t="s">
        <v>985</v>
      </c>
      <c r="B624" s="123" t="s">
        <v>692</v>
      </c>
      <c r="C624" s="123" t="s">
        <v>157</v>
      </c>
      <c r="D624" s="124">
        <v>1</v>
      </c>
      <c r="E624" s="125" t="s">
        <v>163</v>
      </c>
      <c r="F624" s="126">
        <v>981700</v>
      </c>
      <c r="G624" s="127">
        <f>ROUNDDOWN(D624*F624,0)</f>
        <v>981700</v>
      </c>
    </row>
    <row r="625" spans="1:7" ht="20.100000000000001" customHeight="1">
      <c r="A625" s="200"/>
      <c r="B625" s="123" t="s">
        <v>693</v>
      </c>
      <c r="C625" s="123" t="s">
        <v>157</v>
      </c>
      <c r="D625" s="124"/>
      <c r="E625" s="125"/>
      <c r="F625" s="126"/>
      <c r="G625" s="127"/>
    </row>
    <row r="626" spans="1:7" ht="20.100000000000001" customHeight="1">
      <c r="A626" s="200"/>
      <c r="B626" s="123" t="s">
        <v>694</v>
      </c>
      <c r="C626" s="123" t="s">
        <v>157</v>
      </c>
      <c r="D626" s="124"/>
      <c r="E626" s="125"/>
      <c r="F626" s="126"/>
      <c r="G626" s="127"/>
    </row>
    <row r="627" spans="1:7" ht="20.100000000000001" customHeight="1">
      <c r="A627" s="200"/>
      <c r="B627" s="123" t="s">
        <v>695</v>
      </c>
      <c r="C627" s="123" t="s">
        <v>157</v>
      </c>
      <c r="D627" s="124"/>
      <c r="E627" s="125"/>
      <c r="F627" s="126"/>
      <c r="G627" s="127"/>
    </row>
    <row r="628" spans="1:7" ht="20.100000000000001" customHeight="1">
      <c r="A628" s="200"/>
      <c r="B628" s="123" t="s">
        <v>696</v>
      </c>
      <c r="C628" s="123" t="s">
        <v>157</v>
      </c>
      <c r="D628" s="124"/>
      <c r="E628" s="125"/>
      <c r="F628" s="126"/>
      <c r="G628" s="127"/>
    </row>
    <row r="629" spans="1:7" ht="20.100000000000001" customHeight="1">
      <c r="A629" s="200"/>
      <c r="B629" s="256" t="s">
        <v>1000</v>
      </c>
      <c r="C629" s="257"/>
      <c r="D629" s="124"/>
      <c r="E629" s="125"/>
      <c r="F629" s="126"/>
      <c r="G629" s="127"/>
    </row>
    <row r="630" spans="1:7" ht="20.100000000000001" customHeight="1">
      <c r="A630" s="200"/>
      <c r="B630" s="256" t="s">
        <v>1001</v>
      </c>
      <c r="C630" s="257"/>
      <c r="D630" s="124"/>
      <c r="E630" s="125"/>
      <c r="F630" s="126"/>
      <c r="G630" s="127"/>
    </row>
    <row r="631" spans="1:7" ht="20.100000000000001" customHeight="1">
      <c r="A631" s="200"/>
      <c r="B631" s="150"/>
      <c r="C631" s="150"/>
      <c r="D631" s="151"/>
      <c r="E631" s="151"/>
      <c r="F631" s="151"/>
      <c r="G631" s="152"/>
    </row>
    <row r="632" spans="1:7" ht="20.100000000000001" customHeight="1">
      <c r="A632" s="200"/>
      <c r="B632" s="150"/>
      <c r="C632" s="150"/>
      <c r="D632" s="151"/>
      <c r="E632" s="151"/>
      <c r="F632" s="151"/>
      <c r="G632" s="152"/>
    </row>
    <row r="633" spans="1:7" ht="20.100000000000001" customHeight="1">
      <c r="A633" s="200"/>
      <c r="B633" s="150"/>
      <c r="C633" s="150"/>
      <c r="D633" s="151"/>
      <c r="E633" s="151"/>
      <c r="F633" s="151"/>
      <c r="G633" s="152"/>
    </row>
    <row r="634" spans="1:7" ht="20.100000000000001" customHeight="1">
      <c r="A634" s="200"/>
      <c r="B634" s="150"/>
      <c r="C634" s="150"/>
      <c r="D634" s="151"/>
      <c r="E634" s="151"/>
      <c r="F634" s="151"/>
      <c r="G634" s="152"/>
    </row>
    <row r="635" spans="1:7" ht="20.100000000000001" customHeight="1">
      <c r="A635" s="200"/>
      <c r="B635" s="150"/>
      <c r="C635" s="150"/>
      <c r="D635" s="151"/>
      <c r="E635" s="151"/>
      <c r="F635" s="151"/>
      <c r="G635" s="152"/>
    </row>
    <row r="636" spans="1:7" ht="20.100000000000001" customHeight="1">
      <c r="A636" s="200"/>
      <c r="B636" s="150"/>
      <c r="C636" s="150"/>
      <c r="D636" s="151"/>
      <c r="E636" s="151"/>
      <c r="F636" s="151"/>
      <c r="G636" s="152"/>
    </row>
    <row r="637" spans="1:7" ht="20.100000000000001" customHeight="1">
      <c r="A637" s="200"/>
      <c r="B637" s="150"/>
      <c r="C637" s="150"/>
      <c r="D637" s="151"/>
      <c r="E637" s="151"/>
      <c r="F637" s="151"/>
      <c r="G637" s="152"/>
    </row>
    <row r="638" spans="1:7" ht="20.100000000000001" customHeight="1">
      <c r="A638" s="200"/>
      <c r="B638" s="150"/>
      <c r="C638" s="150"/>
      <c r="D638" s="151"/>
      <c r="E638" s="151"/>
      <c r="F638" s="151"/>
      <c r="G638" s="152"/>
    </row>
    <row r="639" spans="1:7" ht="20.100000000000001" customHeight="1">
      <c r="A639" s="200"/>
      <c r="B639" s="150"/>
      <c r="C639" s="150"/>
      <c r="D639" s="151"/>
      <c r="E639" s="151"/>
      <c r="F639" s="151"/>
      <c r="G639" s="152"/>
    </row>
    <row r="640" spans="1:7" ht="20.100000000000001" customHeight="1">
      <c r="A640" s="199"/>
      <c r="B640" s="163"/>
      <c r="C640" s="163"/>
      <c r="D640" s="164"/>
      <c r="E640" s="164"/>
      <c r="F640" s="164"/>
      <c r="G640" s="165"/>
    </row>
    <row r="641" spans="1:7" ht="20.100000000000001" customHeight="1" thickBot="1">
      <c r="A641" s="198"/>
      <c r="B641" s="157" t="s">
        <v>728</v>
      </c>
      <c r="C641" s="158"/>
      <c r="D641" s="159"/>
      <c r="E641" s="159"/>
      <c r="F641" s="159"/>
      <c r="G641" s="160">
        <f>SUM(G623:G640)</f>
        <v>981700</v>
      </c>
    </row>
    <row r="642" spans="1:7" ht="20.100000000000001" customHeight="1">
      <c r="A642" s="202" t="s">
        <v>765</v>
      </c>
      <c r="B642" s="166" t="s">
        <v>701</v>
      </c>
      <c r="C642" s="167"/>
      <c r="D642" s="168"/>
      <c r="E642" s="168"/>
      <c r="F642" s="168"/>
      <c r="G642" s="169"/>
    </row>
    <row r="643" spans="1:7" ht="20.100000000000001" customHeight="1">
      <c r="A643" s="200"/>
      <c r="B643" s="150"/>
      <c r="C643" s="150"/>
      <c r="D643" s="151"/>
      <c r="E643" s="151"/>
      <c r="F643" s="151"/>
      <c r="G643" s="152"/>
    </row>
    <row r="644" spans="1:7" ht="20.100000000000001" customHeight="1">
      <c r="A644" s="200" t="s">
        <v>986</v>
      </c>
      <c r="B644" s="123" t="s">
        <v>702</v>
      </c>
      <c r="C644" s="123" t="s">
        <v>703</v>
      </c>
      <c r="D644" s="124">
        <v>1</v>
      </c>
      <c r="E644" s="125" t="s">
        <v>219</v>
      </c>
      <c r="F644" s="126">
        <v>57200</v>
      </c>
      <c r="G644" s="127">
        <f>ROUNDDOWN(D644*F644,0)</f>
        <v>57200</v>
      </c>
    </row>
    <row r="645" spans="1:7" ht="20.100000000000001" customHeight="1">
      <c r="A645" s="200"/>
      <c r="B645" s="150"/>
      <c r="C645" s="150"/>
      <c r="D645" s="151"/>
      <c r="E645" s="151"/>
      <c r="F645" s="151"/>
      <c r="G645" s="152"/>
    </row>
    <row r="646" spans="1:7" ht="20.100000000000001" customHeight="1">
      <c r="A646" s="200"/>
      <c r="B646" s="150"/>
      <c r="C646" s="150"/>
      <c r="D646" s="151"/>
      <c r="E646" s="151"/>
      <c r="F646" s="151"/>
      <c r="G646" s="152"/>
    </row>
    <row r="647" spans="1:7" ht="20.100000000000001" customHeight="1">
      <c r="A647" s="200"/>
      <c r="B647" s="150"/>
      <c r="C647" s="150"/>
      <c r="D647" s="151"/>
      <c r="E647" s="151"/>
      <c r="F647" s="151"/>
      <c r="G647" s="152"/>
    </row>
    <row r="648" spans="1:7" ht="20.100000000000001" customHeight="1">
      <c r="A648" s="200"/>
      <c r="B648" s="150"/>
      <c r="C648" s="150"/>
      <c r="D648" s="151"/>
      <c r="E648" s="151"/>
      <c r="F648" s="151"/>
      <c r="G648" s="152"/>
    </row>
    <row r="649" spans="1:7" ht="20.100000000000001" customHeight="1">
      <c r="A649" s="200"/>
      <c r="B649" s="150"/>
      <c r="C649" s="150"/>
      <c r="D649" s="151"/>
      <c r="E649" s="151"/>
      <c r="F649" s="151"/>
      <c r="G649" s="152"/>
    </row>
    <row r="650" spans="1:7" ht="20.100000000000001" customHeight="1">
      <c r="A650" s="200"/>
      <c r="B650" s="150"/>
      <c r="C650" s="150"/>
      <c r="D650" s="151"/>
      <c r="E650" s="151"/>
      <c r="F650" s="151"/>
      <c r="G650" s="152"/>
    </row>
    <row r="651" spans="1:7" ht="20.100000000000001" customHeight="1">
      <c r="A651" s="200"/>
      <c r="B651" s="150"/>
      <c r="C651" s="150"/>
      <c r="D651" s="151"/>
      <c r="E651" s="151"/>
      <c r="F651" s="151"/>
      <c r="G651" s="152"/>
    </row>
    <row r="652" spans="1:7" ht="20.100000000000001" customHeight="1">
      <c r="A652" s="200"/>
      <c r="B652" s="150"/>
      <c r="C652" s="150"/>
      <c r="D652" s="151"/>
      <c r="E652" s="151"/>
      <c r="F652" s="151"/>
      <c r="G652" s="152"/>
    </row>
    <row r="653" spans="1:7" ht="20.100000000000001" customHeight="1">
      <c r="A653" s="200"/>
      <c r="B653" s="150"/>
      <c r="C653" s="150"/>
      <c r="D653" s="151"/>
      <c r="E653" s="151"/>
      <c r="F653" s="151"/>
      <c r="G653" s="152"/>
    </row>
    <row r="654" spans="1:7" ht="20.100000000000001" customHeight="1">
      <c r="A654" s="200"/>
      <c r="B654" s="150"/>
      <c r="C654" s="150"/>
      <c r="D654" s="151"/>
      <c r="E654" s="151"/>
      <c r="F654" s="151"/>
      <c r="G654" s="152"/>
    </row>
    <row r="655" spans="1:7" ht="20.100000000000001" customHeight="1">
      <c r="A655" s="200"/>
      <c r="B655" s="150"/>
      <c r="C655" s="150"/>
      <c r="D655" s="151"/>
      <c r="E655" s="151"/>
      <c r="F655" s="151"/>
      <c r="G655" s="152"/>
    </row>
    <row r="656" spans="1:7" ht="20.100000000000001" customHeight="1">
      <c r="A656" s="200"/>
      <c r="B656" s="150"/>
      <c r="C656" s="150"/>
      <c r="D656" s="151"/>
      <c r="E656" s="151"/>
      <c r="F656" s="151"/>
      <c r="G656" s="152"/>
    </row>
    <row r="657" spans="1:7" ht="20.100000000000001" customHeight="1">
      <c r="A657" s="200"/>
      <c r="B657" s="150"/>
      <c r="C657" s="150"/>
      <c r="D657" s="151"/>
      <c r="E657" s="151"/>
      <c r="F657" s="151"/>
      <c r="G657" s="152"/>
    </row>
    <row r="658" spans="1:7" ht="20.100000000000001" customHeight="1">
      <c r="A658" s="200"/>
      <c r="B658" s="150"/>
      <c r="C658" s="150"/>
      <c r="D658" s="151"/>
      <c r="E658" s="151"/>
      <c r="F658" s="151"/>
      <c r="G658" s="152"/>
    </row>
    <row r="659" spans="1:7" ht="20.100000000000001" customHeight="1">
      <c r="A659" s="200"/>
      <c r="B659" s="150"/>
      <c r="C659" s="150"/>
      <c r="D659" s="151"/>
      <c r="E659" s="151"/>
      <c r="F659" s="151"/>
      <c r="G659" s="152"/>
    </row>
    <row r="660" spans="1:7" ht="20.100000000000001" customHeight="1">
      <c r="A660" s="199"/>
      <c r="B660" s="163"/>
      <c r="C660" s="163"/>
      <c r="D660" s="164"/>
      <c r="E660" s="164"/>
      <c r="F660" s="164"/>
      <c r="G660" s="165"/>
    </row>
    <row r="661" spans="1:7" ht="20.100000000000001" customHeight="1" thickBot="1">
      <c r="A661" s="198"/>
      <c r="B661" s="157" t="s">
        <v>728</v>
      </c>
      <c r="C661" s="158"/>
      <c r="D661" s="159"/>
      <c r="E661" s="159"/>
      <c r="F661" s="159"/>
      <c r="G661" s="160">
        <f>SUM(G643:G660)</f>
        <v>57200</v>
      </c>
    </row>
    <row r="662" spans="1:7" ht="20.100000000000001" customHeight="1">
      <c r="A662" s="202" t="s">
        <v>766</v>
      </c>
      <c r="B662" s="166" t="s">
        <v>704</v>
      </c>
      <c r="C662" s="167"/>
      <c r="D662" s="168"/>
      <c r="E662" s="168"/>
      <c r="F662" s="168"/>
      <c r="G662" s="169"/>
    </row>
    <row r="663" spans="1:7" ht="20.100000000000001" customHeight="1">
      <c r="A663" s="200"/>
      <c r="B663" s="150"/>
      <c r="C663" s="150"/>
      <c r="D663" s="151"/>
      <c r="E663" s="151"/>
      <c r="F663" s="151"/>
      <c r="G663" s="152"/>
    </row>
    <row r="664" spans="1:7" ht="20.100000000000001" customHeight="1">
      <c r="A664" s="200" t="s">
        <v>987</v>
      </c>
      <c r="B664" s="123" t="s">
        <v>706</v>
      </c>
      <c r="C664" s="123" t="s">
        <v>157</v>
      </c>
      <c r="D664" s="124">
        <v>115.3</v>
      </c>
      <c r="E664" s="125" t="s">
        <v>176</v>
      </c>
      <c r="F664" s="162">
        <v>450</v>
      </c>
      <c r="G664" s="127">
        <f>ROUNDDOWN(D664*F664,0)</f>
        <v>51885</v>
      </c>
    </row>
    <row r="665" spans="1:7" ht="20.100000000000001" customHeight="1">
      <c r="A665" s="200" t="s">
        <v>988</v>
      </c>
      <c r="B665" s="123" t="s">
        <v>708</v>
      </c>
      <c r="C665" s="123" t="s">
        <v>709</v>
      </c>
      <c r="D665" s="124">
        <v>2</v>
      </c>
      <c r="E665" s="125" t="s">
        <v>347</v>
      </c>
      <c r="F665" s="162">
        <v>20000</v>
      </c>
      <c r="G665" s="127">
        <f>ROUNDDOWN(D665*F665,0)</f>
        <v>40000</v>
      </c>
    </row>
    <row r="666" spans="1:7" ht="20.100000000000001" customHeight="1">
      <c r="A666" s="200" t="s">
        <v>989</v>
      </c>
      <c r="B666" s="123" t="s">
        <v>712</v>
      </c>
      <c r="C666" s="123" t="s">
        <v>713</v>
      </c>
      <c r="D666" s="124">
        <v>1</v>
      </c>
      <c r="E666" s="125" t="s">
        <v>347</v>
      </c>
      <c r="F666" s="126">
        <v>32900</v>
      </c>
      <c r="G666" s="127">
        <f>ROUNDDOWN(D666*F666,0)</f>
        <v>32900</v>
      </c>
    </row>
    <row r="667" spans="1:7" ht="20.100000000000001" customHeight="1">
      <c r="A667" s="200" t="s">
        <v>990</v>
      </c>
      <c r="B667" s="123" t="s">
        <v>715</v>
      </c>
      <c r="C667" s="123" t="s">
        <v>716</v>
      </c>
      <c r="D667" s="124">
        <v>2</v>
      </c>
      <c r="E667" s="125" t="s">
        <v>257</v>
      </c>
      <c r="F667" s="162">
        <v>17800</v>
      </c>
      <c r="G667" s="127">
        <f>ROUNDDOWN(D667*F667,0)</f>
        <v>35600</v>
      </c>
    </row>
    <row r="668" spans="1:7" ht="20.100000000000001" customHeight="1">
      <c r="A668" s="200"/>
      <c r="B668" s="150"/>
      <c r="C668" s="150"/>
      <c r="D668" s="151"/>
      <c r="E668" s="151"/>
      <c r="F668" s="151"/>
      <c r="G668" s="152"/>
    </row>
    <row r="669" spans="1:7" ht="20.100000000000001" customHeight="1">
      <c r="A669" s="200"/>
      <c r="B669" s="150"/>
      <c r="C669" s="150"/>
      <c r="D669" s="151"/>
      <c r="E669" s="151"/>
      <c r="F669" s="151"/>
      <c r="G669" s="152"/>
    </row>
    <row r="670" spans="1:7" ht="20.100000000000001" customHeight="1">
      <c r="A670" s="200"/>
      <c r="B670" s="150"/>
      <c r="C670" s="150"/>
      <c r="D670" s="151"/>
      <c r="E670" s="151"/>
      <c r="F670" s="151"/>
      <c r="G670" s="152"/>
    </row>
    <row r="671" spans="1:7" ht="20.100000000000001" customHeight="1">
      <c r="A671" s="200"/>
      <c r="B671" s="150"/>
      <c r="C671" s="150"/>
      <c r="D671" s="151"/>
      <c r="E671" s="151"/>
      <c r="F671" s="151"/>
      <c r="G671" s="152"/>
    </row>
    <row r="672" spans="1:7" ht="20.100000000000001" customHeight="1">
      <c r="A672" s="200"/>
      <c r="B672" s="150"/>
      <c r="C672" s="150"/>
      <c r="D672" s="151"/>
      <c r="E672" s="151"/>
      <c r="F672" s="151"/>
      <c r="G672" s="152"/>
    </row>
    <row r="673" spans="1:7" ht="20.100000000000001" customHeight="1">
      <c r="A673" s="200"/>
      <c r="B673" s="150"/>
      <c r="C673" s="150"/>
      <c r="D673" s="151"/>
      <c r="E673" s="151"/>
      <c r="F673" s="151"/>
      <c r="G673" s="152"/>
    </row>
    <row r="674" spans="1:7" ht="20.100000000000001" customHeight="1">
      <c r="A674" s="200"/>
      <c r="B674" s="150"/>
      <c r="C674" s="150"/>
      <c r="D674" s="151"/>
      <c r="E674" s="151"/>
      <c r="F674" s="151"/>
      <c r="G674" s="152"/>
    </row>
    <row r="675" spans="1:7" ht="20.100000000000001" customHeight="1">
      <c r="A675" s="200"/>
      <c r="B675" s="150"/>
      <c r="C675" s="150"/>
      <c r="D675" s="151"/>
      <c r="E675" s="151"/>
      <c r="F675" s="151"/>
      <c r="G675" s="152"/>
    </row>
    <row r="676" spans="1:7" ht="20.100000000000001" customHeight="1">
      <c r="A676" s="200"/>
      <c r="B676" s="150"/>
      <c r="C676" s="150"/>
      <c r="D676" s="151"/>
      <c r="E676" s="151"/>
      <c r="F676" s="151"/>
      <c r="G676" s="152"/>
    </row>
    <row r="677" spans="1:7" ht="20.100000000000001" customHeight="1">
      <c r="A677" s="200"/>
      <c r="B677" s="150"/>
      <c r="C677" s="150"/>
      <c r="D677" s="151"/>
      <c r="E677" s="151"/>
      <c r="F677" s="151"/>
      <c r="G677" s="152"/>
    </row>
    <row r="678" spans="1:7" ht="20.100000000000001" customHeight="1">
      <c r="A678" s="200"/>
      <c r="B678" s="150"/>
      <c r="C678" s="150"/>
      <c r="D678" s="151"/>
      <c r="E678" s="151"/>
      <c r="F678" s="151"/>
      <c r="G678" s="152"/>
    </row>
    <row r="679" spans="1:7" ht="20.100000000000001" customHeight="1">
      <c r="A679" s="200"/>
      <c r="B679" s="150"/>
      <c r="C679" s="150"/>
      <c r="D679" s="151"/>
      <c r="E679" s="151"/>
      <c r="F679" s="151"/>
      <c r="G679" s="152"/>
    </row>
    <row r="680" spans="1:7" ht="20.100000000000001" customHeight="1">
      <c r="A680" s="199"/>
      <c r="B680" s="163"/>
      <c r="C680" s="163"/>
      <c r="D680" s="164"/>
      <c r="E680" s="164"/>
      <c r="F680" s="164"/>
      <c r="G680" s="165"/>
    </row>
    <row r="681" spans="1:7" ht="20.100000000000001" customHeight="1" thickBot="1">
      <c r="A681" s="198"/>
      <c r="B681" s="157" t="s">
        <v>728</v>
      </c>
      <c r="C681" s="158"/>
      <c r="D681" s="159"/>
      <c r="E681" s="159"/>
      <c r="F681" s="159"/>
      <c r="G681" s="160">
        <f>SUM(G663:G680)</f>
        <v>160385</v>
      </c>
    </row>
    <row r="682" spans="1:7" ht="20.100000000000001" customHeight="1">
      <c r="A682" s="202" t="s">
        <v>768</v>
      </c>
      <c r="B682" s="166" t="s">
        <v>717</v>
      </c>
      <c r="C682" s="167"/>
      <c r="D682" s="168"/>
      <c r="E682" s="168"/>
      <c r="F682" s="168"/>
      <c r="G682" s="169"/>
    </row>
    <row r="683" spans="1:7" ht="20.100000000000001" customHeight="1">
      <c r="A683" s="200"/>
      <c r="B683" s="150"/>
      <c r="C683" s="150"/>
      <c r="D683" s="151"/>
      <c r="E683" s="151"/>
      <c r="F683" s="151"/>
      <c r="G683" s="152"/>
    </row>
    <row r="684" spans="1:7" ht="20.100000000000001" customHeight="1">
      <c r="A684" s="200" t="s">
        <v>991</v>
      </c>
      <c r="B684" s="123" t="s">
        <v>718</v>
      </c>
      <c r="C684" s="123" t="s">
        <v>157</v>
      </c>
      <c r="D684" s="124">
        <v>1</v>
      </c>
      <c r="E684" s="125" t="s">
        <v>163</v>
      </c>
      <c r="F684" s="126">
        <v>775600</v>
      </c>
      <c r="G684" s="127">
        <f>ROUNDDOWN(D684*F684,0)</f>
        <v>775600</v>
      </c>
    </row>
    <row r="685" spans="1:7" ht="20.100000000000001" customHeight="1">
      <c r="A685" s="200" t="s">
        <v>992</v>
      </c>
      <c r="B685" s="123" t="s">
        <v>719</v>
      </c>
      <c r="C685" s="123" t="s">
        <v>720</v>
      </c>
      <c r="D685" s="124">
        <v>1</v>
      </c>
      <c r="E685" s="125" t="s">
        <v>163</v>
      </c>
      <c r="F685" s="126">
        <v>401700</v>
      </c>
      <c r="G685" s="127">
        <f>ROUNDDOWN(D685*F685,0)</f>
        <v>401700</v>
      </c>
    </row>
    <row r="686" spans="1:7" ht="20.100000000000001" customHeight="1">
      <c r="A686" s="200" t="s">
        <v>993</v>
      </c>
      <c r="B686" s="123" t="s">
        <v>721</v>
      </c>
      <c r="C686" s="123" t="s">
        <v>157</v>
      </c>
      <c r="D686" s="124">
        <v>1</v>
      </c>
      <c r="E686" s="125" t="s">
        <v>163</v>
      </c>
      <c r="F686" s="126">
        <v>169950</v>
      </c>
      <c r="G686" s="127">
        <f>ROUNDDOWN(D686*F686,0)</f>
        <v>169950</v>
      </c>
    </row>
    <row r="687" spans="1:7" ht="20.100000000000001" customHeight="1">
      <c r="A687" s="200"/>
      <c r="B687" s="150"/>
      <c r="C687" s="150"/>
      <c r="D687" s="151"/>
      <c r="E687" s="151"/>
      <c r="F687" s="151"/>
      <c r="G687" s="152"/>
    </row>
    <row r="688" spans="1:7" ht="20.100000000000001" customHeight="1">
      <c r="A688" s="200"/>
      <c r="B688" s="150"/>
      <c r="C688" s="150"/>
      <c r="D688" s="151"/>
      <c r="E688" s="151"/>
      <c r="F688" s="151"/>
      <c r="G688" s="152"/>
    </row>
    <row r="689" spans="1:7" ht="20.100000000000001" customHeight="1">
      <c r="A689" s="200"/>
      <c r="B689" s="150"/>
      <c r="C689" s="150"/>
      <c r="D689" s="151"/>
      <c r="E689" s="151"/>
      <c r="F689" s="151"/>
      <c r="G689" s="152"/>
    </row>
    <row r="690" spans="1:7" ht="20.100000000000001" customHeight="1">
      <c r="A690" s="200"/>
      <c r="B690" s="150"/>
      <c r="C690" s="150"/>
      <c r="D690" s="151"/>
      <c r="E690" s="151"/>
      <c r="F690" s="151"/>
      <c r="G690" s="152"/>
    </row>
    <row r="691" spans="1:7" ht="20.100000000000001" customHeight="1">
      <c r="A691" s="200"/>
      <c r="B691" s="150"/>
      <c r="C691" s="150"/>
      <c r="D691" s="151"/>
      <c r="E691" s="151"/>
      <c r="F691" s="151"/>
      <c r="G691" s="152"/>
    </row>
    <row r="692" spans="1:7" ht="20.100000000000001" customHeight="1">
      <c r="A692" s="200"/>
      <c r="B692" s="150"/>
      <c r="C692" s="150"/>
      <c r="D692" s="151"/>
      <c r="E692" s="151"/>
      <c r="F692" s="151"/>
      <c r="G692" s="152"/>
    </row>
    <row r="693" spans="1:7" ht="20.100000000000001" customHeight="1">
      <c r="A693" s="200"/>
      <c r="B693" s="150"/>
      <c r="C693" s="150"/>
      <c r="D693" s="151"/>
      <c r="E693" s="151"/>
      <c r="F693" s="151"/>
      <c r="G693" s="152"/>
    </row>
    <row r="694" spans="1:7" ht="20.100000000000001" customHeight="1">
      <c r="A694" s="200"/>
      <c r="B694" s="150"/>
      <c r="C694" s="150"/>
      <c r="D694" s="151"/>
      <c r="E694" s="151"/>
      <c r="F694" s="151"/>
      <c r="G694" s="152"/>
    </row>
    <row r="695" spans="1:7" ht="20.100000000000001" customHeight="1">
      <c r="A695" s="200"/>
      <c r="B695" s="150"/>
      <c r="C695" s="150"/>
      <c r="D695" s="151"/>
      <c r="E695" s="151"/>
      <c r="F695" s="151"/>
      <c r="G695" s="152"/>
    </row>
    <row r="696" spans="1:7" ht="20.100000000000001" customHeight="1">
      <c r="A696" s="200"/>
      <c r="B696" s="150"/>
      <c r="C696" s="150"/>
      <c r="D696" s="151"/>
      <c r="E696" s="151"/>
      <c r="F696" s="151"/>
      <c r="G696" s="152"/>
    </row>
    <row r="697" spans="1:7" ht="20.100000000000001" customHeight="1">
      <c r="A697" s="200"/>
      <c r="B697" s="150"/>
      <c r="C697" s="150"/>
      <c r="D697" s="151"/>
      <c r="E697" s="151"/>
      <c r="F697" s="151"/>
      <c r="G697" s="152"/>
    </row>
    <row r="698" spans="1:7" ht="20.100000000000001" customHeight="1">
      <c r="A698" s="200"/>
      <c r="B698" s="150"/>
      <c r="C698" s="150"/>
      <c r="D698" s="151"/>
      <c r="E698" s="151"/>
      <c r="F698" s="151"/>
      <c r="G698" s="152"/>
    </row>
    <row r="699" spans="1:7" ht="20.100000000000001" customHeight="1">
      <c r="A699" s="200"/>
      <c r="B699" s="150"/>
      <c r="C699" s="150"/>
      <c r="D699" s="151"/>
      <c r="E699" s="151"/>
      <c r="F699" s="151"/>
      <c r="G699" s="152"/>
    </row>
    <row r="700" spans="1:7" ht="20.100000000000001" customHeight="1">
      <c r="A700" s="199"/>
      <c r="B700" s="163"/>
      <c r="C700" s="163"/>
      <c r="D700" s="164"/>
      <c r="E700" s="164"/>
      <c r="F700" s="164"/>
      <c r="G700" s="165"/>
    </row>
    <row r="701" spans="1:7" ht="20.100000000000001" customHeight="1" thickBot="1">
      <c r="A701" s="198"/>
      <c r="B701" s="157" t="s">
        <v>728</v>
      </c>
      <c r="C701" s="158"/>
      <c r="D701" s="159"/>
      <c r="E701" s="159"/>
      <c r="F701" s="159"/>
      <c r="G701" s="160">
        <f>SUM(G683:G700)</f>
        <v>1347250</v>
      </c>
    </row>
    <row r="702" spans="1:7" ht="20.100000000000001" customHeight="1">
      <c r="A702" s="202" t="s">
        <v>769</v>
      </c>
      <c r="B702" s="166" t="s">
        <v>722</v>
      </c>
      <c r="C702" s="167"/>
      <c r="D702" s="168"/>
      <c r="E702" s="168"/>
      <c r="F702" s="168"/>
      <c r="G702" s="169"/>
    </row>
    <row r="703" spans="1:7" ht="20.100000000000001" customHeight="1">
      <c r="A703" s="200"/>
      <c r="B703" s="150"/>
      <c r="C703" s="150"/>
      <c r="D703" s="151"/>
      <c r="E703" s="151"/>
      <c r="F703" s="151"/>
      <c r="G703" s="152"/>
    </row>
    <row r="704" spans="1:7" ht="20.100000000000001" customHeight="1">
      <c r="A704" s="200" t="s">
        <v>994</v>
      </c>
      <c r="B704" s="123" t="s">
        <v>723</v>
      </c>
      <c r="C704" s="123" t="s">
        <v>724</v>
      </c>
      <c r="D704" s="124">
        <v>1</v>
      </c>
      <c r="E704" s="125" t="s">
        <v>163</v>
      </c>
      <c r="F704" s="126">
        <v>50000</v>
      </c>
      <c r="G704" s="127">
        <f>ROUNDDOWN(D704*F704,0)</f>
        <v>50000</v>
      </c>
    </row>
    <row r="705" spans="1:7" ht="20.100000000000001" customHeight="1">
      <c r="A705" s="200" t="s">
        <v>995</v>
      </c>
      <c r="B705" s="123" t="s">
        <v>726</v>
      </c>
      <c r="C705" s="123" t="s">
        <v>727</v>
      </c>
      <c r="D705" s="124">
        <v>1</v>
      </c>
      <c r="E705" s="125" t="s">
        <v>163</v>
      </c>
      <c r="F705" s="126">
        <v>1220000</v>
      </c>
      <c r="G705" s="127">
        <f>ROUNDDOWN(D705*F705,0)</f>
        <v>1220000</v>
      </c>
    </row>
    <row r="706" spans="1:7" ht="20.100000000000001" customHeight="1">
      <c r="A706" s="178"/>
      <c r="B706" s="150"/>
      <c r="C706" s="150"/>
      <c r="D706" s="151"/>
      <c r="E706" s="151"/>
      <c r="F706" s="151"/>
      <c r="G706" s="152"/>
    </row>
    <row r="707" spans="1:7" ht="20.100000000000001" customHeight="1">
      <c r="A707" s="178"/>
      <c r="B707" s="150"/>
      <c r="C707" s="150"/>
      <c r="D707" s="151"/>
      <c r="E707" s="151"/>
      <c r="F707" s="151"/>
      <c r="G707" s="152"/>
    </row>
    <row r="708" spans="1:7" ht="20.100000000000001" customHeight="1">
      <c r="A708" s="178"/>
      <c r="B708" s="150"/>
      <c r="C708" s="150"/>
      <c r="D708" s="151"/>
      <c r="E708" s="151"/>
      <c r="F708" s="151"/>
      <c r="G708" s="152"/>
    </row>
    <row r="709" spans="1:7" ht="20.100000000000001" customHeight="1">
      <c r="A709" s="178"/>
      <c r="B709" s="150"/>
      <c r="C709" s="150"/>
      <c r="D709" s="151"/>
      <c r="E709" s="151"/>
      <c r="F709" s="151"/>
      <c r="G709" s="152"/>
    </row>
    <row r="710" spans="1:7" ht="20.100000000000001" customHeight="1">
      <c r="A710" s="178"/>
      <c r="B710" s="150"/>
      <c r="C710" s="150"/>
      <c r="D710" s="151"/>
      <c r="E710" s="151"/>
      <c r="F710" s="151"/>
      <c r="G710" s="152"/>
    </row>
    <row r="711" spans="1:7" ht="20.100000000000001" customHeight="1">
      <c r="A711" s="178"/>
      <c r="B711" s="150"/>
      <c r="C711" s="150"/>
      <c r="D711" s="151"/>
      <c r="E711" s="151"/>
      <c r="F711" s="151"/>
      <c r="G711" s="152"/>
    </row>
    <row r="712" spans="1:7" ht="20.100000000000001" customHeight="1">
      <c r="A712" s="178"/>
      <c r="B712" s="150"/>
      <c r="C712" s="150"/>
      <c r="D712" s="151"/>
      <c r="E712" s="151"/>
      <c r="F712" s="151"/>
      <c r="G712" s="152"/>
    </row>
    <row r="713" spans="1:7" ht="20.100000000000001" customHeight="1">
      <c r="A713" s="178"/>
      <c r="B713" s="150"/>
      <c r="C713" s="150"/>
      <c r="D713" s="151"/>
      <c r="E713" s="151"/>
      <c r="F713" s="151"/>
      <c r="G713" s="152"/>
    </row>
    <row r="714" spans="1:7" ht="20.100000000000001" customHeight="1">
      <c r="A714" s="178"/>
      <c r="B714" s="150"/>
      <c r="C714" s="150"/>
      <c r="D714" s="151"/>
      <c r="E714" s="151"/>
      <c r="F714" s="151"/>
      <c r="G714" s="152"/>
    </row>
    <row r="715" spans="1:7" ht="20.100000000000001" customHeight="1">
      <c r="A715" s="178"/>
      <c r="B715" s="150"/>
      <c r="C715" s="150"/>
      <c r="D715" s="151"/>
      <c r="E715" s="151"/>
      <c r="F715" s="151"/>
      <c r="G715" s="152"/>
    </row>
    <row r="716" spans="1:7" ht="20.100000000000001" customHeight="1">
      <c r="A716" s="178"/>
      <c r="B716" s="150"/>
      <c r="C716" s="150"/>
      <c r="D716" s="151"/>
      <c r="E716" s="151"/>
      <c r="F716" s="151"/>
      <c r="G716" s="152"/>
    </row>
    <row r="717" spans="1:7" ht="20.100000000000001" customHeight="1">
      <c r="A717" s="178"/>
      <c r="B717" s="150"/>
      <c r="C717" s="150"/>
      <c r="D717" s="151"/>
      <c r="E717" s="151"/>
      <c r="F717" s="151"/>
      <c r="G717" s="152"/>
    </row>
    <row r="718" spans="1:7" ht="20.100000000000001" customHeight="1">
      <c r="A718" s="178"/>
      <c r="B718" s="150"/>
      <c r="C718" s="150"/>
      <c r="D718" s="151"/>
      <c r="E718" s="151"/>
      <c r="F718" s="151"/>
      <c r="G718" s="152"/>
    </row>
    <row r="719" spans="1:7" ht="20.100000000000001" customHeight="1">
      <c r="A719" s="178"/>
      <c r="B719" s="150"/>
      <c r="C719" s="150"/>
      <c r="D719" s="151"/>
      <c r="E719" s="151"/>
      <c r="F719" s="151"/>
      <c r="G719" s="152"/>
    </row>
    <row r="720" spans="1:7" ht="20.100000000000001" customHeight="1">
      <c r="A720" s="178"/>
      <c r="B720" s="150"/>
      <c r="C720" s="150"/>
      <c r="D720" s="151"/>
      <c r="E720" s="151"/>
      <c r="F720" s="151"/>
      <c r="G720" s="152"/>
    </row>
    <row r="721" spans="1:7" ht="20.100000000000001" customHeight="1" thickBot="1">
      <c r="A721" s="180"/>
      <c r="B721" s="157" t="s">
        <v>728</v>
      </c>
      <c r="C721" s="158"/>
      <c r="D721" s="159"/>
      <c r="E721" s="159"/>
      <c r="F721" s="159"/>
      <c r="G721" s="160">
        <f>SUM(G703:G720)</f>
        <v>1270000</v>
      </c>
    </row>
    <row r="722" spans="1:7" ht="20.100000000000001" customHeight="1">
      <c r="B722" s="161"/>
    </row>
  </sheetData>
  <mergeCells count="3">
    <mergeCell ref="B571:C571"/>
    <mergeCell ref="B629:C629"/>
    <mergeCell ref="B630:C630"/>
  </mergeCells>
  <phoneticPr fontId="4"/>
  <printOptions horizontalCentered="1" verticalCentered="1"/>
  <pageMargins left="0.59055118110236227" right="0.59055118110236227" top="0.78740157480314965" bottom="0.78740157480314965" header="0.51181102362204722" footer="0.51181102362204722"/>
  <pageSetup paperSize="9" scale="115" orientation="landscape" useFirstPageNumber="1" horizontalDpi="400" verticalDpi="400" r:id="rId1"/>
  <headerFooter alignWithMargins="0">
    <oddHeader>&amp;C&amp;"ＭＳ Ｐ明朝,標準"内訳書</oddHeader>
    <oddFooter>&amp;R&amp;"ＭＳ Ｐ明朝,標準"&amp;Pページ</oddFooter>
  </headerFooter>
  <rowBreaks count="26" manualBreakCount="26">
    <brk id="21" max="16383" man="1"/>
    <brk id="41" max="16383" man="1"/>
    <brk id="81" max="16383" man="1"/>
    <brk id="101" max="16383" man="1"/>
    <brk id="241" max="16383" man="1"/>
    <brk id="301" max="16383" man="1"/>
    <brk id="321" max="16383" man="1"/>
    <brk id="341" max="16383" man="1"/>
    <brk id="361" max="16383" man="1"/>
    <brk id="381" max="16383" man="1"/>
    <brk id="401" max="16383" man="1"/>
    <brk id="441" max="16383" man="1"/>
    <brk id="461" max="16383" man="1"/>
    <brk id="481" max="16383" man="1"/>
    <brk id="501" max="16383" man="1"/>
    <brk id="521" max="16383" man="1"/>
    <brk id="541" max="16383" man="1"/>
    <brk id="561" max="16383" man="1"/>
    <brk id="581" max="16383" man="1"/>
    <brk id="601" max="16383" man="1"/>
    <brk id="621" max="16383" man="1"/>
    <brk id="641" max="16383" man="1"/>
    <brk id="661" max="16383" man="1"/>
    <brk id="681" max="16383" man="1"/>
    <brk id="701" max="16383" man="1"/>
    <brk id="72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260"/>
  <sheetViews>
    <sheetView zoomScaleNormal="100" zoomScaleSheetLayoutView="100" workbookViewId="0">
      <pane ySplit="1" topLeftCell="A2" activePane="bottomLeft" state="frozen"/>
      <selection pane="bottomLeft" activeCell="J1" sqref="J1:J1048576"/>
    </sheetView>
  </sheetViews>
  <sheetFormatPr defaultRowHeight="13.5"/>
  <cols>
    <col min="1" max="2" width="4.5" bestFit="1" customWidth="1"/>
    <col min="3" max="3" width="2.5" customWidth="1"/>
    <col min="4" max="4" width="50.5" bestFit="1" customWidth="1"/>
    <col min="5" max="5" width="49" bestFit="1" customWidth="1"/>
    <col min="6" max="6" width="7.5" bestFit="1" customWidth="1"/>
    <col min="7" max="7" width="5" bestFit="1" customWidth="1"/>
    <col min="8" max="8" width="9.5" bestFit="1" customWidth="1"/>
    <col min="9" max="9" width="8.5" bestFit="1" customWidth="1"/>
    <col min="10" max="10" width="2.5" customWidth="1"/>
    <col min="11" max="11" width="20.375" bestFit="1" customWidth="1"/>
    <col min="15" max="15" width="48.5" bestFit="1" customWidth="1"/>
    <col min="16" max="16" width="13.75" bestFit="1" customWidth="1"/>
    <col min="17" max="17" width="2.5" bestFit="1" customWidth="1"/>
    <col min="18" max="18" width="9.5" bestFit="1" customWidth="1"/>
    <col min="19" max="20" width="81" bestFit="1" customWidth="1"/>
  </cols>
  <sheetData>
    <row r="1" spans="1:20">
      <c r="A1" s="1" t="s">
        <v>9</v>
      </c>
      <c r="B1" t="s">
        <v>10</v>
      </c>
      <c r="C1" t="s">
        <v>11</v>
      </c>
      <c r="D1" t="s">
        <v>3</v>
      </c>
      <c r="E1" t="s">
        <v>4</v>
      </c>
      <c r="F1" t="s">
        <v>12</v>
      </c>
      <c r="G1" s="2" t="s">
        <v>6</v>
      </c>
      <c r="H1" t="s">
        <v>7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47</v>
      </c>
      <c r="Q1" t="s">
        <v>48</v>
      </c>
      <c r="R1" t="s">
        <v>49</v>
      </c>
      <c r="S1" t="s">
        <v>45</v>
      </c>
      <c r="T1" t="s">
        <v>46</v>
      </c>
    </row>
    <row r="2" spans="1:20">
      <c r="A2">
        <v>0</v>
      </c>
      <c r="B2">
        <v>1</v>
      </c>
      <c r="C2">
        <v>0</v>
      </c>
      <c r="D2" s="2" t="s">
        <v>162</v>
      </c>
      <c r="F2">
        <v>1</v>
      </c>
      <c r="G2" s="2" t="s">
        <v>163</v>
      </c>
      <c r="H2">
        <v>914151</v>
      </c>
      <c r="I2">
        <v>625715</v>
      </c>
      <c r="J2">
        <v>0</v>
      </c>
    </row>
    <row r="3" spans="1:20">
      <c r="A3">
        <v>0</v>
      </c>
      <c r="B3">
        <v>11</v>
      </c>
      <c r="C3">
        <v>0</v>
      </c>
      <c r="D3" s="2" t="s">
        <v>186</v>
      </c>
      <c r="F3">
        <v>1</v>
      </c>
      <c r="G3" s="2" t="s">
        <v>163</v>
      </c>
      <c r="H3">
        <v>2275605</v>
      </c>
      <c r="I3">
        <v>1588963</v>
      </c>
      <c r="J3">
        <v>0</v>
      </c>
    </row>
    <row r="4" spans="1:20">
      <c r="A4">
        <v>0</v>
      </c>
      <c r="B4">
        <v>21</v>
      </c>
      <c r="C4">
        <v>0</v>
      </c>
      <c r="D4" s="2" t="s">
        <v>209</v>
      </c>
      <c r="F4">
        <v>1</v>
      </c>
      <c r="G4" s="2" t="s">
        <v>163</v>
      </c>
      <c r="H4">
        <v>12317611</v>
      </c>
      <c r="I4">
        <v>7910157</v>
      </c>
      <c r="J4">
        <v>0</v>
      </c>
    </row>
    <row r="5" spans="1:20">
      <c r="A5">
        <v>0</v>
      </c>
      <c r="B5">
        <v>108</v>
      </c>
      <c r="C5">
        <v>0</v>
      </c>
      <c r="D5" s="2" t="s">
        <v>414</v>
      </c>
      <c r="F5">
        <v>1</v>
      </c>
      <c r="G5" s="2" t="s">
        <v>163</v>
      </c>
      <c r="H5">
        <v>1256721</v>
      </c>
      <c r="I5">
        <v>871719</v>
      </c>
      <c r="J5">
        <v>0</v>
      </c>
    </row>
    <row r="6" spans="1:20">
      <c r="A6">
        <v>0</v>
      </c>
      <c r="B6">
        <v>123</v>
      </c>
      <c r="C6">
        <v>0</v>
      </c>
      <c r="D6" s="2" t="s">
        <v>460</v>
      </c>
      <c r="F6">
        <v>1</v>
      </c>
      <c r="G6" s="2" t="s">
        <v>163</v>
      </c>
      <c r="H6">
        <v>739277</v>
      </c>
      <c r="I6">
        <v>513653</v>
      </c>
      <c r="J6">
        <v>0</v>
      </c>
    </row>
    <row r="7" spans="1:20">
      <c r="A7">
        <v>0</v>
      </c>
      <c r="B7">
        <v>126</v>
      </c>
      <c r="C7">
        <v>0</v>
      </c>
      <c r="D7" s="2" t="s">
        <v>466</v>
      </c>
      <c r="F7">
        <v>1</v>
      </c>
      <c r="G7" s="2" t="s">
        <v>163</v>
      </c>
      <c r="H7">
        <v>202780</v>
      </c>
      <c r="I7">
        <v>141496</v>
      </c>
      <c r="J7">
        <v>0</v>
      </c>
    </row>
    <row r="8" spans="1:20">
      <c r="A8">
        <v>0</v>
      </c>
      <c r="B8">
        <v>130</v>
      </c>
      <c r="C8">
        <v>0</v>
      </c>
      <c r="D8" s="2" t="s">
        <v>478</v>
      </c>
      <c r="F8">
        <v>1</v>
      </c>
      <c r="G8" s="2" t="s">
        <v>163</v>
      </c>
      <c r="H8">
        <v>981800</v>
      </c>
      <c r="I8">
        <v>687000</v>
      </c>
      <c r="J8">
        <v>0</v>
      </c>
    </row>
    <row r="9" spans="1:20">
      <c r="A9">
        <v>0</v>
      </c>
      <c r="B9">
        <v>141</v>
      </c>
      <c r="C9">
        <v>0</v>
      </c>
      <c r="D9" s="2" t="s">
        <v>495</v>
      </c>
      <c r="F9">
        <v>1</v>
      </c>
      <c r="G9" s="2" t="s">
        <v>163</v>
      </c>
      <c r="H9">
        <v>1133700</v>
      </c>
      <c r="I9">
        <v>792920</v>
      </c>
      <c r="J9">
        <v>0</v>
      </c>
    </row>
    <row r="10" spans="1:20">
      <c r="A10">
        <v>0</v>
      </c>
      <c r="B10">
        <v>158</v>
      </c>
      <c r="C10">
        <v>0</v>
      </c>
      <c r="D10" s="2" t="s">
        <v>517</v>
      </c>
      <c r="F10">
        <v>1</v>
      </c>
      <c r="G10" s="2" t="s">
        <v>163</v>
      </c>
      <c r="H10">
        <v>2087931</v>
      </c>
      <c r="I10">
        <v>1449077</v>
      </c>
      <c r="J10">
        <v>0</v>
      </c>
    </row>
    <row r="11" spans="1:20">
      <c r="A11">
        <v>0</v>
      </c>
      <c r="B11">
        <v>165</v>
      </c>
      <c r="C11">
        <v>0</v>
      </c>
      <c r="D11" s="2" t="s">
        <v>541</v>
      </c>
      <c r="F11">
        <v>1</v>
      </c>
      <c r="G11" s="2" t="s">
        <v>163</v>
      </c>
      <c r="H11">
        <v>254156</v>
      </c>
      <c r="I11">
        <v>176780</v>
      </c>
      <c r="J11">
        <v>0</v>
      </c>
    </row>
    <row r="12" spans="1:20">
      <c r="A12">
        <v>0</v>
      </c>
      <c r="B12">
        <v>172</v>
      </c>
      <c r="C12">
        <v>0</v>
      </c>
      <c r="D12" s="2" t="s">
        <v>559</v>
      </c>
      <c r="F12">
        <v>1</v>
      </c>
      <c r="G12" s="2" t="s">
        <v>163</v>
      </c>
      <c r="H12">
        <v>254760</v>
      </c>
      <c r="I12">
        <v>177868</v>
      </c>
      <c r="J12">
        <v>0</v>
      </c>
    </row>
    <row r="13" spans="1:20">
      <c r="A13">
        <v>0</v>
      </c>
      <c r="B13">
        <v>174</v>
      </c>
      <c r="C13">
        <v>0</v>
      </c>
      <c r="D13" s="2" t="s">
        <v>565</v>
      </c>
      <c r="F13">
        <v>1</v>
      </c>
      <c r="G13" s="2" t="s">
        <v>163</v>
      </c>
      <c r="H13">
        <v>42900</v>
      </c>
      <c r="I13">
        <v>30000</v>
      </c>
      <c r="J13">
        <v>0</v>
      </c>
    </row>
    <row r="14" spans="1:20">
      <c r="A14">
        <v>0</v>
      </c>
      <c r="B14">
        <v>176</v>
      </c>
      <c r="C14">
        <v>0</v>
      </c>
      <c r="D14" s="2" t="s">
        <v>568</v>
      </c>
      <c r="F14">
        <v>1</v>
      </c>
      <c r="G14" s="2" t="s">
        <v>163</v>
      </c>
      <c r="H14">
        <v>896446</v>
      </c>
      <c r="I14">
        <v>625684</v>
      </c>
      <c r="J14">
        <v>0</v>
      </c>
    </row>
    <row r="15" spans="1:20">
      <c r="A15">
        <v>0</v>
      </c>
      <c r="B15">
        <v>181</v>
      </c>
      <c r="C15">
        <v>0</v>
      </c>
      <c r="D15" s="2" t="s">
        <v>575</v>
      </c>
      <c r="F15">
        <v>1</v>
      </c>
      <c r="G15" s="2" t="s">
        <v>163</v>
      </c>
      <c r="H15">
        <v>2340500</v>
      </c>
      <c r="I15">
        <v>1637950</v>
      </c>
      <c r="J15">
        <v>0</v>
      </c>
    </row>
    <row r="16" spans="1:20">
      <c r="A16">
        <v>0</v>
      </c>
      <c r="B16">
        <v>193</v>
      </c>
      <c r="C16">
        <v>0</v>
      </c>
      <c r="D16" s="2" t="s">
        <v>602</v>
      </c>
      <c r="F16">
        <v>1</v>
      </c>
      <c r="G16" s="2" t="s">
        <v>163</v>
      </c>
      <c r="H16">
        <v>242900</v>
      </c>
      <c r="I16">
        <v>170000</v>
      </c>
      <c r="J16">
        <v>0</v>
      </c>
    </row>
    <row r="17" spans="1:20">
      <c r="A17">
        <v>0</v>
      </c>
      <c r="B17">
        <v>195</v>
      </c>
      <c r="C17">
        <v>0</v>
      </c>
      <c r="D17" s="2" t="s">
        <v>605</v>
      </c>
      <c r="F17">
        <v>1</v>
      </c>
      <c r="G17" s="2" t="s">
        <v>163</v>
      </c>
      <c r="H17">
        <v>1243650</v>
      </c>
      <c r="I17">
        <v>866060</v>
      </c>
      <c r="J17">
        <v>0</v>
      </c>
    </row>
    <row r="18" spans="1:20">
      <c r="A18">
        <v>0</v>
      </c>
      <c r="B18">
        <v>224</v>
      </c>
      <c r="C18">
        <v>0</v>
      </c>
      <c r="D18" s="2" t="s">
        <v>668</v>
      </c>
      <c r="F18">
        <v>1</v>
      </c>
      <c r="G18" s="2" t="s">
        <v>163</v>
      </c>
      <c r="H18">
        <v>472052</v>
      </c>
      <c r="I18">
        <v>330156</v>
      </c>
      <c r="J18">
        <v>0</v>
      </c>
    </row>
    <row r="19" spans="1:20">
      <c r="A19">
        <v>0</v>
      </c>
      <c r="B19">
        <v>231</v>
      </c>
      <c r="C19">
        <v>0</v>
      </c>
      <c r="D19" s="2" t="s">
        <v>682</v>
      </c>
      <c r="F19">
        <v>1</v>
      </c>
      <c r="G19" s="2" t="s">
        <v>163</v>
      </c>
      <c r="H19">
        <v>351500</v>
      </c>
      <c r="I19">
        <v>245000</v>
      </c>
      <c r="J19">
        <v>0</v>
      </c>
    </row>
    <row r="20" spans="1:20">
      <c r="A20">
        <v>0</v>
      </c>
      <c r="B20">
        <v>237</v>
      </c>
      <c r="C20">
        <v>0</v>
      </c>
      <c r="D20" s="2" t="s">
        <v>691</v>
      </c>
      <c r="F20">
        <v>1</v>
      </c>
      <c r="G20" s="2" t="s">
        <v>163</v>
      </c>
      <c r="H20">
        <v>981700</v>
      </c>
      <c r="I20">
        <v>687150</v>
      </c>
      <c r="J20">
        <v>0</v>
      </c>
    </row>
    <row r="21" spans="1:20">
      <c r="A21">
        <v>0</v>
      </c>
      <c r="B21">
        <v>245</v>
      </c>
      <c r="C21">
        <v>0</v>
      </c>
      <c r="D21" s="2" t="s">
        <v>701</v>
      </c>
      <c r="F21">
        <v>1</v>
      </c>
      <c r="G21" s="2" t="s">
        <v>163</v>
      </c>
      <c r="H21">
        <v>57200</v>
      </c>
      <c r="I21">
        <v>40000</v>
      </c>
      <c r="J21">
        <v>0</v>
      </c>
    </row>
    <row r="22" spans="1:20">
      <c r="A22">
        <v>0</v>
      </c>
      <c r="B22">
        <v>247</v>
      </c>
      <c r="C22">
        <v>0</v>
      </c>
      <c r="D22" s="2" t="s">
        <v>704</v>
      </c>
      <c r="F22">
        <v>1</v>
      </c>
      <c r="G22" s="2" t="s">
        <v>163</v>
      </c>
      <c r="H22">
        <v>160385</v>
      </c>
      <c r="I22">
        <v>111543</v>
      </c>
      <c r="J22">
        <v>0</v>
      </c>
    </row>
    <row r="23" spans="1:20">
      <c r="A23">
        <v>0</v>
      </c>
      <c r="B23">
        <v>0</v>
      </c>
      <c r="C23">
        <v>0</v>
      </c>
      <c r="D23" s="2" t="s">
        <v>705</v>
      </c>
      <c r="F23">
        <v>1</v>
      </c>
      <c r="H23">
        <v>0.03</v>
      </c>
      <c r="I23">
        <v>0.02</v>
      </c>
    </row>
    <row r="24" spans="1:20">
      <c r="A24">
        <v>0</v>
      </c>
      <c r="B24">
        <v>252</v>
      </c>
      <c r="C24">
        <v>0</v>
      </c>
      <c r="D24" s="2" t="s">
        <v>717</v>
      </c>
      <c r="F24">
        <v>1</v>
      </c>
      <c r="G24" s="2" t="s">
        <v>163</v>
      </c>
      <c r="H24">
        <v>1347250</v>
      </c>
      <c r="I24">
        <v>927282</v>
      </c>
      <c r="J24">
        <v>0</v>
      </c>
    </row>
    <row r="25" spans="1:20">
      <c r="A25">
        <v>0</v>
      </c>
      <c r="B25">
        <v>256</v>
      </c>
      <c r="C25">
        <v>0</v>
      </c>
      <c r="D25" s="2" t="s">
        <v>722</v>
      </c>
      <c r="F25">
        <v>1</v>
      </c>
      <c r="G25" s="2" t="s">
        <v>163</v>
      </c>
      <c r="H25">
        <v>1270000</v>
      </c>
      <c r="I25">
        <v>889000</v>
      </c>
      <c r="J25">
        <v>0</v>
      </c>
    </row>
    <row r="26" spans="1:20">
      <c r="A26">
        <v>1</v>
      </c>
      <c r="B26">
        <v>2</v>
      </c>
      <c r="C26">
        <v>0</v>
      </c>
      <c r="D26" s="2" t="s">
        <v>164</v>
      </c>
      <c r="F26">
        <v>1</v>
      </c>
      <c r="G26" s="2" t="s">
        <v>163</v>
      </c>
      <c r="H26">
        <v>387300</v>
      </c>
      <c r="I26">
        <v>271000</v>
      </c>
      <c r="J26">
        <v>0</v>
      </c>
    </row>
    <row r="27" spans="1:20">
      <c r="A27">
        <v>1</v>
      </c>
      <c r="B27">
        <v>7</v>
      </c>
      <c r="C27">
        <v>1</v>
      </c>
      <c r="D27" s="2" t="s">
        <v>174</v>
      </c>
      <c r="E27" s="2" t="s">
        <v>175</v>
      </c>
      <c r="F27">
        <v>256.10000000000002</v>
      </c>
      <c r="G27" s="2" t="s">
        <v>176</v>
      </c>
      <c r="H27">
        <v>900</v>
      </c>
      <c r="I27">
        <v>600</v>
      </c>
      <c r="J27">
        <v>0</v>
      </c>
      <c r="O27" s="2" t="s">
        <v>177</v>
      </c>
      <c r="P27" s="2" t="s">
        <v>167</v>
      </c>
      <c r="Q27">
        <v>1</v>
      </c>
      <c r="R27">
        <v>256.1035</v>
      </c>
      <c r="S27" s="2" t="s">
        <v>178</v>
      </c>
      <c r="T27" s="2" t="s">
        <v>179</v>
      </c>
    </row>
    <row r="28" spans="1:20">
      <c r="A28">
        <v>1</v>
      </c>
      <c r="B28">
        <v>8</v>
      </c>
      <c r="C28">
        <v>1</v>
      </c>
      <c r="D28" s="2" t="s">
        <v>180</v>
      </c>
      <c r="F28">
        <v>1</v>
      </c>
      <c r="G28" s="2" t="s">
        <v>163</v>
      </c>
      <c r="H28">
        <v>35800</v>
      </c>
      <c r="I28">
        <v>25000</v>
      </c>
      <c r="J28">
        <v>0</v>
      </c>
      <c r="P28" s="2" t="s">
        <v>167</v>
      </c>
      <c r="Q28">
        <v>1</v>
      </c>
      <c r="R28">
        <v>1</v>
      </c>
    </row>
    <row r="29" spans="1:20">
      <c r="A29">
        <v>1</v>
      </c>
      <c r="B29">
        <v>9</v>
      </c>
      <c r="C29">
        <v>1</v>
      </c>
      <c r="D29" s="2" t="s">
        <v>181</v>
      </c>
      <c r="F29">
        <v>117.37</v>
      </c>
      <c r="G29" s="2" t="s">
        <v>176</v>
      </c>
      <c r="H29">
        <v>1500</v>
      </c>
      <c r="I29">
        <v>1000</v>
      </c>
      <c r="J29">
        <v>0</v>
      </c>
      <c r="O29" s="2" t="s">
        <v>182</v>
      </c>
      <c r="P29" s="2" t="s">
        <v>167</v>
      </c>
      <c r="Q29">
        <v>1</v>
      </c>
      <c r="R29">
        <v>117.37</v>
      </c>
      <c r="S29" s="2" t="s">
        <v>183</v>
      </c>
      <c r="T29" s="2" t="s">
        <v>184</v>
      </c>
    </row>
    <row r="30" spans="1:20">
      <c r="A30">
        <v>1</v>
      </c>
      <c r="B30">
        <v>10</v>
      </c>
      <c r="C30">
        <v>1</v>
      </c>
      <c r="D30" s="2" t="s">
        <v>185</v>
      </c>
      <c r="F30">
        <v>117.37</v>
      </c>
      <c r="G30" s="2" t="s">
        <v>176</v>
      </c>
      <c r="H30">
        <v>720</v>
      </c>
      <c r="I30">
        <v>500</v>
      </c>
      <c r="J30">
        <v>0</v>
      </c>
      <c r="O30" s="2" t="s">
        <v>182</v>
      </c>
      <c r="P30" s="2" t="s">
        <v>167</v>
      </c>
      <c r="Q30">
        <v>1</v>
      </c>
      <c r="R30">
        <v>117.37</v>
      </c>
      <c r="S30" s="2" t="s">
        <v>183</v>
      </c>
      <c r="T30" s="2" t="s">
        <v>184</v>
      </c>
    </row>
    <row r="31" spans="1:20">
      <c r="A31">
        <v>2</v>
      </c>
      <c r="B31">
        <v>3</v>
      </c>
      <c r="C31">
        <v>1</v>
      </c>
      <c r="D31" s="2" t="s">
        <v>165</v>
      </c>
      <c r="E31" s="2" t="s">
        <v>166</v>
      </c>
      <c r="F31">
        <v>1</v>
      </c>
      <c r="G31" s="2" t="s">
        <v>163</v>
      </c>
      <c r="H31">
        <v>171500</v>
      </c>
      <c r="I31">
        <v>120000</v>
      </c>
      <c r="J31">
        <v>0</v>
      </c>
      <c r="P31" s="2" t="s">
        <v>167</v>
      </c>
      <c r="Q31">
        <v>1</v>
      </c>
      <c r="R31">
        <v>1</v>
      </c>
    </row>
    <row r="32" spans="1:20">
      <c r="A32">
        <v>2</v>
      </c>
      <c r="B32">
        <v>4</v>
      </c>
      <c r="C32">
        <v>1</v>
      </c>
      <c r="D32" s="2" t="s">
        <v>168</v>
      </c>
      <c r="F32">
        <v>1</v>
      </c>
      <c r="G32" s="2" t="s">
        <v>163</v>
      </c>
      <c r="H32">
        <v>22900</v>
      </c>
      <c r="I32">
        <v>16000</v>
      </c>
      <c r="J32">
        <v>0</v>
      </c>
      <c r="P32" s="2" t="s">
        <v>167</v>
      </c>
      <c r="Q32">
        <v>1</v>
      </c>
      <c r="R32">
        <v>1</v>
      </c>
    </row>
    <row r="33" spans="1:20">
      <c r="A33">
        <v>2</v>
      </c>
      <c r="B33">
        <v>5</v>
      </c>
      <c r="C33">
        <v>1</v>
      </c>
      <c r="D33" s="2" t="s">
        <v>164</v>
      </c>
      <c r="E33" s="2" t="s">
        <v>169</v>
      </c>
      <c r="F33">
        <v>1</v>
      </c>
      <c r="G33" s="2" t="s">
        <v>163</v>
      </c>
      <c r="H33">
        <v>142900</v>
      </c>
      <c r="I33">
        <v>100000</v>
      </c>
      <c r="J33">
        <v>0</v>
      </c>
      <c r="P33" s="2" t="s">
        <v>167</v>
      </c>
      <c r="Q33">
        <v>1</v>
      </c>
      <c r="R33">
        <v>1</v>
      </c>
      <c r="S33" s="2" t="s">
        <v>170</v>
      </c>
      <c r="T33" s="2" t="s">
        <v>171</v>
      </c>
    </row>
    <row r="34" spans="1:20">
      <c r="A34">
        <v>2</v>
      </c>
      <c r="B34">
        <v>6</v>
      </c>
      <c r="C34">
        <v>1</v>
      </c>
      <c r="D34" s="2" t="s">
        <v>172</v>
      </c>
      <c r="E34" s="2" t="s">
        <v>173</v>
      </c>
      <c r="F34">
        <v>1</v>
      </c>
      <c r="G34" s="2" t="s">
        <v>163</v>
      </c>
      <c r="H34">
        <v>50000</v>
      </c>
      <c r="I34">
        <v>35000</v>
      </c>
      <c r="J34">
        <v>0</v>
      </c>
      <c r="P34" s="2" t="s">
        <v>167</v>
      </c>
      <c r="Q34">
        <v>1</v>
      </c>
      <c r="R34">
        <v>1</v>
      </c>
    </row>
    <row r="35" spans="1:20">
      <c r="A35">
        <v>11</v>
      </c>
      <c r="B35">
        <v>12</v>
      </c>
      <c r="C35">
        <v>1</v>
      </c>
      <c r="D35" s="2" t="s">
        <v>187</v>
      </c>
      <c r="F35">
        <v>1</v>
      </c>
      <c r="G35" s="2" t="s">
        <v>163</v>
      </c>
      <c r="H35">
        <v>28600</v>
      </c>
      <c r="I35">
        <v>20000</v>
      </c>
      <c r="J35">
        <v>0</v>
      </c>
      <c r="P35" s="2" t="s">
        <v>167</v>
      </c>
      <c r="Q35">
        <v>1</v>
      </c>
      <c r="R35">
        <v>1</v>
      </c>
    </row>
    <row r="36" spans="1:20">
      <c r="A36">
        <v>11</v>
      </c>
      <c r="B36">
        <v>13</v>
      </c>
      <c r="C36">
        <v>1</v>
      </c>
      <c r="D36" s="2" t="s">
        <v>188</v>
      </c>
      <c r="F36">
        <v>62.02</v>
      </c>
      <c r="G36" s="2" t="s">
        <v>176</v>
      </c>
      <c r="H36">
        <v>28200</v>
      </c>
      <c r="I36">
        <v>19700</v>
      </c>
      <c r="J36">
        <v>0</v>
      </c>
      <c r="O36" s="2" t="s">
        <v>189</v>
      </c>
      <c r="P36" s="2" t="s">
        <v>167</v>
      </c>
      <c r="Q36">
        <v>1</v>
      </c>
      <c r="R36">
        <v>62.020899999999997</v>
      </c>
      <c r="S36" s="2" t="s">
        <v>190</v>
      </c>
      <c r="T36" s="2" t="s">
        <v>191</v>
      </c>
    </row>
    <row r="37" spans="1:20">
      <c r="A37">
        <v>11</v>
      </c>
      <c r="B37">
        <v>14</v>
      </c>
      <c r="C37">
        <v>1</v>
      </c>
      <c r="D37" s="2" t="s">
        <v>192</v>
      </c>
      <c r="E37" s="2" t="s">
        <v>193</v>
      </c>
      <c r="F37">
        <v>1</v>
      </c>
      <c r="G37" s="2" t="s">
        <v>163</v>
      </c>
      <c r="H37">
        <v>137200</v>
      </c>
      <c r="I37">
        <v>96000</v>
      </c>
      <c r="J37">
        <v>0</v>
      </c>
      <c r="P37" s="2" t="s">
        <v>167</v>
      </c>
      <c r="Q37">
        <v>1</v>
      </c>
      <c r="R37">
        <v>1</v>
      </c>
      <c r="S37" s="2" t="s">
        <v>170</v>
      </c>
      <c r="T37" s="2" t="s">
        <v>171</v>
      </c>
    </row>
    <row r="38" spans="1:20">
      <c r="A38">
        <v>11</v>
      </c>
      <c r="B38">
        <v>15</v>
      </c>
      <c r="C38">
        <v>1</v>
      </c>
      <c r="D38" s="2" t="s">
        <v>194</v>
      </c>
      <c r="E38" s="2" t="s">
        <v>195</v>
      </c>
      <c r="F38">
        <v>8.1999999999999993</v>
      </c>
      <c r="G38" s="2" t="s">
        <v>176</v>
      </c>
      <c r="H38">
        <v>5800</v>
      </c>
      <c r="I38">
        <v>4000</v>
      </c>
      <c r="J38">
        <v>0</v>
      </c>
      <c r="O38" s="2" t="s">
        <v>196</v>
      </c>
      <c r="P38" s="2" t="s">
        <v>167</v>
      </c>
      <c r="Q38">
        <v>1</v>
      </c>
      <c r="R38">
        <v>8.2005999999999997</v>
      </c>
      <c r="S38" s="2" t="s">
        <v>197</v>
      </c>
      <c r="T38" s="2" t="s">
        <v>198</v>
      </c>
    </row>
    <row r="39" spans="1:20">
      <c r="A39">
        <v>11</v>
      </c>
      <c r="B39">
        <v>16</v>
      </c>
      <c r="C39">
        <v>1</v>
      </c>
      <c r="D39" s="2" t="s">
        <v>199</v>
      </c>
      <c r="F39">
        <v>2</v>
      </c>
      <c r="G39" s="2" t="s">
        <v>200</v>
      </c>
      <c r="H39">
        <v>57200</v>
      </c>
      <c r="I39">
        <v>40000</v>
      </c>
      <c r="J39">
        <v>0</v>
      </c>
      <c r="P39" s="2" t="s">
        <v>167</v>
      </c>
      <c r="Q39">
        <v>1</v>
      </c>
      <c r="R39">
        <v>2</v>
      </c>
    </row>
    <row r="40" spans="1:20">
      <c r="A40">
        <v>11</v>
      </c>
      <c r="B40">
        <v>17</v>
      </c>
      <c r="C40">
        <v>1</v>
      </c>
      <c r="D40" s="2" t="s">
        <v>201</v>
      </c>
      <c r="E40" s="2" t="s">
        <v>202</v>
      </c>
      <c r="F40">
        <v>16.39</v>
      </c>
      <c r="G40" s="2" t="s">
        <v>203</v>
      </c>
      <c r="H40">
        <v>11500</v>
      </c>
      <c r="I40">
        <v>8000</v>
      </c>
      <c r="J40">
        <v>0</v>
      </c>
      <c r="P40" s="2" t="s">
        <v>204</v>
      </c>
      <c r="Q40">
        <v>1</v>
      </c>
      <c r="R40">
        <v>16.38</v>
      </c>
    </row>
    <row r="41" spans="1:20">
      <c r="A41">
        <v>11</v>
      </c>
      <c r="B41">
        <v>18</v>
      </c>
      <c r="C41">
        <v>1</v>
      </c>
      <c r="D41" s="2" t="s">
        <v>205</v>
      </c>
      <c r="F41">
        <v>0.46</v>
      </c>
      <c r="G41" s="2" t="s">
        <v>203</v>
      </c>
      <c r="H41">
        <v>22600</v>
      </c>
      <c r="I41">
        <v>15760</v>
      </c>
      <c r="J41">
        <v>0</v>
      </c>
      <c r="P41" s="2" t="s">
        <v>204</v>
      </c>
      <c r="Q41">
        <v>1</v>
      </c>
      <c r="R41">
        <v>0.45500000000000002</v>
      </c>
    </row>
    <row r="42" spans="1:20">
      <c r="A42">
        <v>11</v>
      </c>
      <c r="B42">
        <v>19</v>
      </c>
      <c r="C42">
        <v>1</v>
      </c>
      <c r="D42" s="2" t="s">
        <v>206</v>
      </c>
      <c r="E42" s="2" t="s">
        <v>207</v>
      </c>
      <c r="F42">
        <v>1</v>
      </c>
      <c r="H42">
        <v>0</v>
      </c>
      <c r="I42">
        <v>0</v>
      </c>
      <c r="J42">
        <v>0</v>
      </c>
      <c r="P42" s="2" t="s">
        <v>167</v>
      </c>
      <c r="Q42">
        <v>1</v>
      </c>
      <c r="R42">
        <v>1</v>
      </c>
    </row>
    <row r="43" spans="1:20">
      <c r="A43">
        <v>11</v>
      </c>
      <c r="B43">
        <v>20</v>
      </c>
      <c r="C43">
        <v>1</v>
      </c>
      <c r="E43" s="2" t="s">
        <v>208</v>
      </c>
      <c r="F43">
        <v>1</v>
      </c>
      <c r="H43">
        <v>0</v>
      </c>
      <c r="I43">
        <v>0</v>
      </c>
      <c r="J43">
        <v>0</v>
      </c>
      <c r="P43" s="2" t="s">
        <v>167</v>
      </c>
      <c r="Q43">
        <v>1</v>
      </c>
      <c r="R43">
        <v>1</v>
      </c>
    </row>
    <row r="44" spans="1:20">
      <c r="A44">
        <v>21</v>
      </c>
      <c r="B44">
        <v>22</v>
      </c>
      <c r="C44">
        <v>0</v>
      </c>
      <c r="D44" s="2" t="s">
        <v>210</v>
      </c>
      <c r="F44">
        <v>1</v>
      </c>
      <c r="G44" s="2" t="s">
        <v>163</v>
      </c>
      <c r="H44">
        <v>3943795</v>
      </c>
      <c r="I44">
        <v>2759270</v>
      </c>
      <c r="J44">
        <v>0</v>
      </c>
    </row>
    <row r="45" spans="1:20">
      <c r="A45">
        <v>21</v>
      </c>
      <c r="B45">
        <v>31</v>
      </c>
      <c r="C45">
        <v>0</v>
      </c>
      <c r="D45" s="2" t="s">
        <v>235</v>
      </c>
      <c r="F45">
        <v>1</v>
      </c>
      <c r="G45" s="2" t="s">
        <v>163</v>
      </c>
      <c r="H45">
        <v>4333718</v>
      </c>
      <c r="I45">
        <v>2680197</v>
      </c>
      <c r="J45">
        <v>0</v>
      </c>
    </row>
    <row r="46" spans="1:20">
      <c r="A46">
        <v>21</v>
      </c>
      <c r="B46">
        <v>77</v>
      </c>
      <c r="C46">
        <v>0</v>
      </c>
      <c r="D46" s="2" t="s">
        <v>348</v>
      </c>
      <c r="F46">
        <v>1</v>
      </c>
      <c r="G46" s="2" t="s">
        <v>163</v>
      </c>
      <c r="H46">
        <v>3484098</v>
      </c>
      <c r="I46">
        <v>2082690</v>
      </c>
      <c r="J46">
        <v>0</v>
      </c>
    </row>
    <row r="47" spans="1:20">
      <c r="A47">
        <v>21</v>
      </c>
      <c r="B47">
        <v>105</v>
      </c>
      <c r="C47">
        <v>1</v>
      </c>
      <c r="D47" s="2" t="s">
        <v>402</v>
      </c>
      <c r="E47" s="2" t="s">
        <v>403</v>
      </c>
      <c r="F47">
        <v>10</v>
      </c>
      <c r="G47" s="2" t="s">
        <v>213</v>
      </c>
      <c r="H47">
        <v>31200</v>
      </c>
      <c r="I47">
        <v>21800</v>
      </c>
      <c r="J47">
        <v>0</v>
      </c>
      <c r="P47" s="2" t="s">
        <v>167</v>
      </c>
      <c r="Q47">
        <v>1</v>
      </c>
      <c r="R47">
        <v>38.713700000000003</v>
      </c>
      <c r="S47" s="2" t="s">
        <v>404</v>
      </c>
      <c r="T47" s="2" t="s">
        <v>405</v>
      </c>
    </row>
    <row r="48" spans="1:20">
      <c r="A48">
        <v>21</v>
      </c>
      <c r="B48">
        <v>106</v>
      </c>
      <c r="C48">
        <v>1</v>
      </c>
      <c r="D48" s="2" t="s">
        <v>406</v>
      </c>
      <c r="E48" s="2" t="s">
        <v>407</v>
      </c>
      <c r="F48">
        <v>16</v>
      </c>
      <c r="G48" s="2" t="s">
        <v>213</v>
      </c>
      <c r="H48">
        <v>11500</v>
      </c>
      <c r="I48">
        <v>8000</v>
      </c>
      <c r="J48">
        <v>0</v>
      </c>
      <c r="P48" s="2" t="s">
        <v>167</v>
      </c>
      <c r="Q48">
        <v>1</v>
      </c>
      <c r="R48">
        <v>50.928199999999997</v>
      </c>
      <c r="S48" s="2" t="s">
        <v>408</v>
      </c>
      <c r="T48" s="2" t="s">
        <v>409</v>
      </c>
    </row>
    <row r="49" spans="1:20">
      <c r="A49">
        <v>21</v>
      </c>
      <c r="B49">
        <v>107</v>
      </c>
      <c r="C49">
        <v>1</v>
      </c>
      <c r="D49" s="2" t="s">
        <v>410</v>
      </c>
      <c r="E49" s="2" t="s">
        <v>411</v>
      </c>
      <c r="F49">
        <v>3</v>
      </c>
      <c r="G49" s="2" t="s">
        <v>213</v>
      </c>
      <c r="H49">
        <v>20000</v>
      </c>
      <c r="I49">
        <v>14000</v>
      </c>
      <c r="J49">
        <v>0</v>
      </c>
      <c r="P49" s="2" t="s">
        <v>167</v>
      </c>
      <c r="Q49">
        <v>1</v>
      </c>
      <c r="R49">
        <v>10.7653</v>
      </c>
      <c r="S49" s="2" t="s">
        <v>412</v>
      </c>
      <c r="T49" s="2" t="s">
        <v>413</v>
      </c>
    </row>
    <row r="50" spans="1:20">
      <c r="A50">
        <v>22</v>
      </c>
      <c r="B50">
        <v>23</v>
      </c>
      <c r="C50">
        <v>1</v>
      </c>
      <c r="D50" s="2" t="s">
        <v>211</v>
      </c>
      <c r="E50" s="2" t="s">
        <v>212</v>
      </c>
      <c r="F50">
        <v>35.51</v>
      </c>
      <c r="G50" s="2" t="s">
        <v>213</v>
      </c>
      <c r="H50">
        <v>102900</v>
      </c>
      <c r="I50">
        <v>72000</v>
      </c>
      <c r="J50">
        <v>0</v>
      </c>
      <c r="P50" s="2" t="s">
        <v>167</v>
      </c>
      <c r="Q50">
        <v>1</v>
      </c>
      <c r="R50">
        <v>117.37</v>
      </c>
      <c r="S50" s="2" t="s">
        <v>214</v>
      </c>
      <c r="T50" s="2" t="s">
        <v>215</v>
      </c>
    </row>
    <row r="51" spans="1:20">
      <c r="A51">
        <v>22</v>
      </c>
      <c r="B51">
        <v>24</v>
      </c>
      <c r="C51">
        <v>1</v>
      </c>
      <c r="D51" s="2" t="s">
        <v>216</v>
      </c>
      <c r="F51">
        <v>-1</v>
      </c>
      <c r="G51" s="2" t="s">
        <v>163</v>
      </c>
      <c r="H51">
        <v>85800</v>
      </c>
      <c r="I51">
        <v>60000</v>
      </c>
      <c r="J51">
        <v>0</v>
      </c>
      <c r="P51" s="2" t="s">
        <v>167</v>
      </c>
      <c r="Q51">
        <v>1</v>
      </c>
      <c r="R51">
        <v>-1</v>
      </c>
    </row>
    <row r="52" spans="1:20">
      <c r="A52">
        <v>22</v>
      </c>
      <c r="B52">
        <v>25</v>
      </c>
      <c r="C52">
        <v>1</v>
      </c>
      <c r="D52" s="2" t="s">
        <v>217</v>
      </c>
      <c r="E52" s="2" t="s">
        <v>218</v>
      </c>
      <c r="F52">
        <v>4</v>
      </c>
      <c r="G52" s="2" t="s">
        <v>219</v>
      </c>
      <c r="H52">
        <v>21500</v>
      </c>
      <c r="I52">
        <v>15000</v>
      </c>
      <c r="J52">
        <v>0</v>
      </c>
      <c r="P52" s="2" t="s">
        <v>167</v>
      </c>
      <c r="Q52">
        <v>1</v>
      </c>
      <c r="R52">
        <v>4</v>
      </c>
      <c r="S52" s="2" t="s">
        <v>220</v>
      </c>
      <c r="T52" s="2" t="s">
        <v>221</v>
      </c>
    </row>
    <row r="53" spans="1:20">
      <c r="A53">
        <v>22</v>
      </c>
      <c r="B53">
        <v>26</v>
      </c>
      <c r="C53">
        <v>1</v>
      </c>
      <c r="D53" s="2" t="s">
        <v>222</v>
      </c>
      <c r="E53" s="2" t="s">
        <v>223</v>
      </c>
      <c r="F53">
        <v>1.06</v>
      </c>
      <c r="G53" s="2" t="s">
        <v>213</v>
      </c>
      <c r="H53">
        <v>3600</v>
      </c>
      <c r="I53">
        <v>2500</v>
      </c>
      <c r="J53">
        <v>0</v>
      </c>
      <c r="P53" s="2" t="s">
        <v>167</v>
      </c>
      <c r="Q53">
        <v>1</v>
      </c>
      <c r="R53">
        <v>3.52</v>
      </c>
      <c r="S53" s="2" t="s">
        <v>224</v>
      </c>
      <c r="T53" s="2" t="s">
        <v>225</v>
      </c>
    </row>
    <row r="54" spans="1:20">
      <c r="A54">
        <v>22</v>
      </c>
      <c r="B54">
        <v>27</v>
      </c>
      <c r="C54">
        <v>1</v>
      </c>
      <c r="D54" s="2" t="s">
        <v>226</v>
      </c>
      <c r="E54" s="2" t="s">
        <v>227</v>
      </c>
      <c r="F54">
        <v>1</v>
      </c>
      <c r="G54" s="2" t="s">
        <v>228</v>
      </c>
      <c r="H54">
        <v>17200</v>
      </c>
      <c r="I54">
        <v>12000</v>
      </c>
      <c r="J54">
        <v>0</v>
      </c>
      <c r="P54" s="2" t="s">
        <v>204</v>
      </c>
      <c r="Q54">
        <v>1</v>
      </c>
      <c r="R54">
        <v>1</v>
      </c>
    </row>
    <row r="55" spans="1:20">
      <c r="A55">
        <v>22</v>
      </c>
      <c r="B55">
        <v>28</v>
      </c>
      <c r="C55">
        <v>1</v>
      </c>
      <c r="D55" s="2" t="s">
        <v>229</v>
      </c>
      <c r="F55">
        <v>1</v>
      </c>
      <c r="G55" s="2" t="s">
        <v>163</v>
      </c>
      <c r="H55">
        <v>85800</v>
      </c>
      <c r="I55">
        <v>60000</v>
      </c>
      <c r="J55">
        <v>0</v>
      </c>
      <c r="P55" s="2" t="s">
        <v>167</v>
      </c>
      <c r="Q55">
        <v>1</v>
      </c>
      <c r="R55">
        <v>1</v>
      </c>
    </row>
    <row r="56" spans="1:20">
      <c r="A56">
        <v>22</v>
      </c>
      <c r="B56">
        <v>29</v>
      </c>
      <c r="C56">
        <v>1</v>
      </c>
      <c r="D56" s="2" t="s">
        <v>230</v>
      </c>
      <c r="E56" s="2" t="s">
        <v>231</v>
      </c>
      <c r="F56">
        <v>1</v>
      </c>
      <c r="G56" s="2" t="s">
        <v>163</v>
      </c>
      <c r="H56">
        <v>0</v>
      </c>
      <c r="I56">
        <v>0</v>
      </c>
      <c r="J56">
        <v>0</v>
      </c>
      <c r="K56" s="2" t="s">
        <v>232</v>
      </c>
      <c r="P56" s="2" t="s">
        <v>167</v>
      </c>
      <c r="Q56">
        <v>1</v>
      </c>
      <c r="R56">
        <v>1</v>
      </c>
    </row>
    <row r="57" spans="1:20">
      <c r="A57">
        <v>22</v>
      </c>
      <c r="B57">
        <v>30</v>
      </c>
      <c r="C57">
        <v>1</v>
      </c>
      <c r="D57" s="2" t="s">
        <v>233</v>
      </c>
      <c r="E57" s="2" t="s">
        <v>234</v>
      </c>
      <c r="F57">
        <v>1</v>
      </c>
      <c r="G57" s="2" t="s">
        <v>163</v>
      </c>
      <c r="H57">
        <v>182800</v>
      </c>
      <c r="I57">
        <v>127900</v>
      </c>
      <c r="J57">
        <v>0</v>
      </c>
      <c r="P57" s="2" t="s">
        <v>167</v>
      </c>
      <c r="Q57">
        <v>1</v>
      </c>
      <c r="R57">
        <v>1</v>
      </c>
    </row>
    <row r="58" spans="1:20">
      <c r="A58">
        <v>31</v>
      </c>
      <c r="B58">
        <v>32</v>
      </c>
      <c r="C58">
        <v>1</v>
      </c>
      <c r="D58" s="2" t="s">
        <v>236</v>
      </c>
      <c r="E58" s="2" t="s">
        <v>167</v>
      </c>
      <c r="F58">
        <v>35.51</v>
      </c>
      <c r="G58" s="2" t="s">
        <v>213</v>
      </c>
      <c r="H58">
        <v>37200</v>
      </c>
      <c r="I58">
        <v>26000</v>
      </c>
      <c r="J58">
        <v>0</v>
      </c>
      <c r="P58" s="2" t="s">
        <v>167</v>
      </c>
      <c r="Q58">
        <v>1</v>
      </c>
      <c r="R58">
        <v>117.37</v>
      </c>
      <c r="S58" s="2" t="s">
        <v>237</v>
      </c>
      <c r="T58" s="2" t="s">
        <v>238</v>
      </c>
    </row>
    <row r="59" spans="1:20">
      <c r="A59">
        <v>31</v>
      </c>
      <c r="B59">
        <v>33</v>
      </c>
      <c r="C59">
        <v>1</v>
      </c>
      <c r="D59" s="2" t="s">
        <v>239</v>
      </c>
      <c r="E59" s="2" t="s">
        <v>240</v>
      </c>
      <c r="F59">
        <v>4</v>
      </c>
      <c r="G59" s="2" t="s">
        <v>219</v>
      </c>
      <c r="H59">
        <v>14300</v>
      </c>
      <c r="I59">
        <v>10000</v>
      </c>
      <c r="J59">
        <v>0</v>
      </c>
      <c r="P59" s="2" t="s">
        <v>167</v>
      </c>
      <c r="Q59">
        <v>1</v>
      </c>
      <c r="R59">
        <v>4</v>
      </c>
      <c r="S59" s="2" t="s">
        <v>220</v>
      </c>
      <c r="T59" s="2" t="s">
        <v>221</v>
      </c>
    </row>
    <row r="60" spans="1:20">
      <c r="A60">
        <v>31</v>
      </c>
      <c r="B60">
        <v>34</v>
      </c>
      <c r="C60">
        <v>1</v>
      </c>
      <c r="D60" s="2" t="s">
        <v>241</v>
      </c>
      <c r="E60" s="2" t="s">
        <v>242</v>
      </c>
      <c r="F60">
        <v>1</v>
      </c>
      <c r="G60" s="2" t="s">
        <v>163</v>
      </c>
      <c r="H60">
        <v>-14300</v>
      </c>
      <c r="I60">
        <v>-10000</v>
      </c>
      <c r="J60">
        <v>0</v>
      </c>
      <c r="P60" s="2" t="s">
        <v>167</v>
      </c>
      <c r="Q60">
        <v>1</v>
      </c>
      <c r="R60">
        <v>1</v>
      </c>
    </row>
    <row r="61" spans="1:20">
      <c r="A61">
        <v>31</v>
      </c>
      <c r="B61">
        <v>35</v>
      </c>
      <c r="C61">
        <v>1</v>
      </c>
      <c r="D61" s="2" t="s">
        <v>243</v>
      </c>
      <c r="F61">
        <v>1</v>
      </c>
      <c r="G61" s="2" t="s">
        <v>163</v>
      </c>
      <c r="H61">
        <v>-142900</v>
      </c>
      <c r="I61">
        <v>-100000</v>
      </c>
      <c r="J61">
        <v>0</v>
      </c>
      <c r="P61" s="2" t="s">
        <v>167</v>
      </c>
      <c r="Q61">
        <v>1</v>
      </c>
      <c r="R61">
        <v>1</v>
      </c>
    </row>
    <row r="62" spans="1:20">
      <c r="A62">
        <v>31</v>
      </c>
      <c r="B62">
        <v>36</v>
      </c>
      <c r="C62">
        <v>1</v>
      </c>
      <c r="D62" s="2" t="s">
        <v>244</v>
      </c>
      <c r="E62" s="2" t="s">
        <v>245</v>
      </c>
      <c r="F62">
        <v>1</v>
      </c>
      <c r="G62" s="2" t="s">
        <v>228</v>
      </c>
      <c r="H62">
        <v>14300</v>
      </c>
      <c r="I62">
        <v>10000</v>
      </c>
      <c r="J62">
        <v>0</v>
      </c>
      <c r="O62" s="2" t="s">
        <v>246</v>
      </c>
      <c r="P62" s="2" t="s">
        <v>167</v>
      </c>
      <c r="Q62">
        <v>1</v>
      </c>
      <c r="R62">
        <v>4.5679999999999996</v>
      </c>
      <c r="S62" s="2" t="s">
        <v>247</v>
      </c>
      <c r="T62" s="2" t="s">
        <v>248</v>
      </c>
    </row>
    <row r="63" spans="1:20">
      <c r="A63">
        <v>31</v>
      </c>
      <c r="B63">
        <v>37</v>
      </c>
      <c r="C63">
        <v>1</v>
      </c>
      <c r="D63" s="2" t="s">
        <v>249</v>
      </c>
      <c r="E63" s="2" t="s">
        <v>250</v>
      </c>
      <c r="F63">
        <v>2</v>
      </c>
      <c r="G63" s="2" t="s">
        <v>228</v>
      </c>
      <c r="H63">
        <v>18600</v>
      </c>
      <c r="I63">
        <v>13000</v>
      </c>
      <c r="J63">
        <v>0</v>
      </c>
      <c r="P63" s="2" t="s">
        <v>167</v>
      </c>
      <c r="Q63">
        <v>1</v>
      </c>
      <c r="R63">
        <v>0</v>
      </c>
    </row>
    <row r="64" spans="1:20">
      <c r="A64">
        <v>31</v>
      </c>
      <c r="B64">
        <v>38</v>
      </c>
      <c r="C64">
        <v>1</v>
      </c>
      <c r="D64" s="2" t="s">
        <v>251</v>
      </c>
      <c r="E64" s="2" t="s">
        <v>252</v>
      </c>
      <c r="F64">
        <v>5.59</v>
      </c>
      <c r="G64" s="2" t="s">
        <v>176</v>
      </c>
      <c r="H64">
        <v>-2900</v>
      </c>
      <c r="I64">
        <v>-2000</v>
      </c>
      <c r="J64">
        <v>0</v>
      </c>
      <c r="P64" s="2" t="s">
        <v>167</v>
      </c>
      <c r="Q64">
        <v>1</v>
      </c>
      <c r="R64">
        <v>5.5896999999999997</v>
      </c>
      <c r="S64" s="2" t="s">
        <v>253</v>
      </c>
      <c r="T64" s="2" t="s">
        <v>254</v>
      </c>
    </row>
    <row r="65" spans="1:20">
      <c r="A65">
        <v>31</v>
      </c>
      <c r="B65">
        <v>39</v>
      </c>
      <c r="C65">
        <v>1</v>
      </c>
      <c r="D65" s="2" t="s">
        <v>255</v>
      </c>
      <c r="E65" s="2" t="s">
        <v>256</v>
      </c>
      <c r="F65">
        <v>1</v>
      </c>
      <c r="G65" s="2" t="s">
        <v>257</v>
      </c>
      <c r="H65">
        <v>151500</v>
      </c>
      <c r="I65">
        <v>106000</v>
      </c>
      <c r="J65">
        <v>0</v>
      </c>
      <c r="P65" s="2" t="s">
        <v>167</v>
      </c>
      <c r="Q65">
        <v>1</v>
      </c>
      <c r="R65">
        <v>1</v>
      </c>
      <c r="S65" s="2" t="s">
        <v>258</v>
      </c>
      <c r="T65" s="2" t="s">
        <v>259</v>
      </c>
    </row>
    <row r="66" spans="1:20">
      <c r="A66">
        <v>31</v>
      </c>
      <c r="B66">
        <v>40</v>
      </c>
      <c r="C66">
        <v>1</v>
      </c>
      <c r="D66" s="2" t="s">
        <v>260</v>
      </c>
      <c r="E66" s="2" t="s">
        <v>261</v>
      </c>
      <c r="F66">
        <v>1</v>
      </c>
      <c r="G66" s="2" t="s">
        <v>257</v>
      </c>
      <c r="H66">
        <v>43500</v>
      </c>
      <c r="I66">
        <v>30400</v>
      </c>
      <c r="J66">
        <v>0</v>
      </c>
      <c r="P66" s="2" t="s">
        <v>167</v>
      </c>
      <c r="Q66">
        <v>1</v>
      </c>
      <c r="R66">
        <v>1</v>
      </c>
      <c r="S66" s="2" t="s">
        <v>262</v>
      </c>
      <c r="T66" s="2" t="s">
        <v>263</v>
      </c>
    </row>
    <row r="67" spans="1:20">
      <c r="A67">
        <v>31</v>
      </c>
      <c r="B67">
        <v>41</v>
      </c>
      <c r="C67">
        <v>1</v>
      </c>
      <c r="D67" s="2" t="s">
        <v>264</v>
      </c>
      <c r="E67" s="2" t="s">
        <v>265</v>
      </c>
      <c r="F67">
        <v>6</v>
      </c>
      <c r="G67" s="2" t="s">
        <v>219</v>
      </c>
      <c r="H67">
        <v>17200</v>
      </c>
      <c r="I67">
        <v>12000</v>
      </c>
      <c r="J67">
        <v>0</v>
      </c>
      <c r="P67" s="2" t="s">
        <v>167</v>
      </c>
      <c r="Q67">
        <v>1</v>
      </c>
      <c r="R67">
        <v>6</v>
      </c>
      <c r="S67" s="2" t="s">
        <v>266</v>
      </c>
      <c r="T67" s="2" t="s">
        <v>267</v>
      </c>
    </row>
    <row r="68" spans="1:20">
      <c r="A68">
        <v>31</v>
      </c>
      <c r="B68">
        <v>42</v>
      </c>
      <c r="C68">
        <v>1</v>
      </c>
      <c r="D68" s="2" t="s">
        <v>268</v>
      </c>
      <c r="F68">
        <v>3</v>
      </c>
      <c r="G68" s="2" t="s">
        <v>219</v>
      </c>
      <c r="H68">
        <v>28600</v>
      </c>
      <c r="I68">
        <v>20000</v>
      </c>
      <c r="J68">
        <v>0</v>
      </c>
      <c r="P68" s="2" t="s">
        <v>167</v>
      </c>
      <c r="Q68">
        <v>1</v>
      </c>
      <c r="R68">
        <v>0</v>
      </c>
    </row>
    <row r="69" spans="1:20">
      <c r="A69">
        <v>31</v>
      </c>
      <c r="B69">
        <v>43</v>
      </c>
      <c r="C69">
        <v>1</v>
      </c>
      <c r="D69" s="2" t="s">
        <v>269</v>
      </c>
      <c r="E69" s="2" t="s">
        <v>270</v>
      </c>
      <c r="F69">
        <v>2</v>
      </c>
      <c r="G69" s="2" t="s">
        <v>228</v>
      </c>
      <c r="H69">
        <v>20000</v>
      </c>
      <c r="I69">
        <v>14000</v>
      </c>
      <c r="J69">
        <v>0</v>
      </c>
      <c r="O69" s="2" t="s">
        <v>271</v>
      </c>
      <c r="P69" s="2" t="s">
        <v>167</v>
      </c>
      <c r="Q69">
        <v>1</v>
      </c>
      <c r="R69">
        <v>4.2030000000000003</v>
      </c>
      <c r="S69" s="2" t="s">
        <v>272</v>
      </c>
      <c r="T69" s="2" t="s">
        <v>273</v>
      </c>
    </row>
    <row r="70" spans="1:20">
      <c r="A70">
        <v>31</v>
      </c>
      <c r="B70">
        <v>44</v>
      </c>
      <c r="C70">
        <v>1</v>
      </c>
      <c r="D70" s="2" t="s">
        <v>274</v>
      </c>
      <c r="E70" s="2" t="s">
        <v>275</v>
      </c>
      <c r="F70">
        <v>2.69</v>
      </c>
      <c r="G70" s="2" t="s">
        <v>176</v>
      </c>
      <c r="H70">
        <v>8600</v>
      </c>
      <c r="I70">
        <v>6000</v>
      </c>
      <c r="J70">
        <v>0</v>
      </c>
      <c r="P70" s="2" t="s">
        <v>167</v>
      </c>
      <c r="Q70">
        <v>1</v>
      </c>
      <c r="R70">
        <v>2.6913</v>
      </c>
      <c r="S70" s="2" t="s">
        <v>276</v>
      </c>
      <c r="T70" s="2" t="s">
        <v>277</v>
      </c>
    </row>
    <row r="71" spans="1:20">
      <c r="A71">
        <v>31</v>
      </c>
      <c r="B71">
        <v>45</v>
      </c>
      <c r="C71">
        <v>1</v>
      </c>
      <c r="D71" s="2" t="s">
        <v>278</v>
      </c>
      <c r="F71">
        <v>2.69</v>
      </c>
      <c r="G71" s="2" t="s">
        <v>176</v>
      </c>
      <c r="H71">
        <v>8600</v>
      </c>
      <c r="I71">
        <v>6000</v>
      </c>
      <c r="J71">
        <v>0</v>
      </c>
      <c r="P71" s="2" t="s">
        <v>167</v>
      </c>
      <c r="Q71">
        <v>1</v>
      </c>
      <c r="R71">
        <v>0</v>
      </c>
    </row>
    <row r="72" spans="1:20">
      <c r="A72">
        <v>31</v>
      </c>
      <c r="B72">
        <v>46</v>
      </c>
      <c r="C72">
        <v>1</v>
      </c>
      <c r="D72" s="2" t="s">
        <v>279</v>
      </c>
      <c r="E72" s="2" t="s">
        <v>265</v>
      </c>
      <c r="F72">
        <v>1</v>
      </c>
      <c r="G72" s="2" t="s">
        <v>219</v>
      </c>
      <c r="H72">
        <v>22900</v>
      </c>
      <c r="I72">
        <v>16000</v>
      </c>
      <c r="J72">
        <v>0</v>
      </c>
      <c r="P72" s="2" t="s">
        <v>167</v>
      </c>
      <c r="Q72">
        <v>1</v>
      </c>
      <c r="R72">
        <v>1</v>
      </c>
      <c r="S72" s="2" t="s">
        <v>280</v>
      </c>
      <c r="T72" s="2" t="s">
        <v>259</v>
      </c>
    </row>
    <row r="73" spans="1:20">
      <c r="A73">
        <v>31</v>
      </c>
      <c r="B73">
        <v>47</v>
      </c>
      <c r="C73">
        <v>1</v>
      </c>
      <c r="D73" s="2" t="s">
        <v>281</v>
      </c>
      <c r="E73" s="2" t="s">
        <v>282</v>
      </c>
      <c r="F73">
        <v>96.01</v>
      </c>
      <c r="G73" s="2" t="s">
        <v>176</v>
      </c>
      <c r="H73">
        <v>1100</v>
      </c>
      <c r="I73">
        <v>750</v>
      </c>
      <c r="J73">
        <v>0</v>
      </c>
      <c r="P73" s="2" t="s">
        <v>167</v>
      </c>
      <c r="Q73">
        <v>1</v>
      </c>
      <c r="R73">
        <v>96.006</v>
      </c>
      <c r="S73" s="2" t="s">
        <v>283</v>
      </c>
      <c r="T73" s="2" t="s">
        <v>284</v>
      </c>
    </row>
    <row r="74" spans="1:20">
      <c r="A74">
        <v>31</v>
      </c>
      <c r="B74">
        <v>48</v>
      </c>
      <c r="C74">
        <v>1</v>
      </c>
      <c r="D74" s="2" t="s">
        <v>285</v>
      </c>
      <c r="E74" s="2" t="s">
        <v>286</v>
      </c>
      <c r="F74">
        <v>193.53</v>
      </c>
      <c r="G74" s="2" t="s">
        <v>176</v>
      </c>
      <c r="H74">
        <v>800</v>
      </c>
      <c r="I74">
        <v>500</v>
      </c>
      <c r="J74">
        <v>0</v>
      </c>
      <c r="P74" s="2" t="s">
        <v>167</v>
      </c>
      <c r="Q74">
        <v>1</v>
      </c>
      <c r="R74">
        <v>193.52950000000001</v>
      </c>
      <c r="S74" s="2" t="s">
        <v>287</v>
      </c>
      <c r="T74" s="2" t="s">
        <v>288</v>
      </c>
    </row>
    <row r="75" spans="1:20">
      <c r="A75">
        <v>31</v>
      </c>
      <c r="B75">
        <v>49</v>
      </c>
      <c r="C75">
        <v>1</v>
      </c>
      <c r="D75" s="2" t="s">
        <v>289</v>
      </c>
      <c r="E75" s="2" t="s">
        <v>290</v>
      </c>
      <c r="F75">
        <v>87</v>
      </c>
      <c r="G75" s="2" t="s">
        <v>291</v>
      </c>
      <c r="H75">
        <v>4300</v>
      </c>
      <c r="I75">
        <v>3000</v>
      </c>
      <c r="J75">
        <v>0</v>
      </c>
      <c r="O75" s="2" t="s">
        <v>292</v>
      </c>
      <c r="P75" s="2" t="s">
        <v>167</v>
      </c>
      <c r="Q75">
        <v>1</v>
      </c>
      <c r="R75">
        <v>86.617099999999994</v>
      </c>
      <c r="S75" s="2" t="s">
        <v>293</v>
      </c>
      <c r="T75" s="2" t="s">
        <v>294</v>
      </c>
    </row>
    <row r="76" spans="1:20">
      <c r="A76">
        <v>31</v>
      </c>
      <c r="B76">
        <v>50</v>
      </c>
      <c r="C76">
        <v>1</v>
      </c>
      <c r="D76" s="2" t="s">
        <v>295</v>
      </c>
      <c r="E76" s="2" t="s">
        <v>296</v>
      </c>
      <c r="F76">
        <v>4</v>
      </c>
      <c r="G76" s="2" t="s">
        <v>228</v>
      </c>
      <c r="H76">
        <v>86500</v>
      </c>
      <c r="I76">
        <v>60500</v>
      </c>
      <c r="J76">
        <v>0</v>
      </c>
      <c r="P76" s="2" t="s">
        <v>167</v>
      </c>
      <c r="Q76">
        <v>1</v>
      </c>
      <c r="R76">
        <v>4</v>
      </c>
      <c r="S76" s="2" t="s">
        <v>170</v>
      </c>
      <c r="T76" s="2" t="s">
        <v>297</v>
      </c>
    </row>
    <row r="77" spans="1:20">
      <c r="A77">
        <v>31</v>
      </c>
      <c r="B77">
        <v>51</v>
      </c>
      <c r="C77">
        <v>1</v>
      </c>
      <c r="D77" s="2" t="s">
        <v>298</v>
      </c>
      <c r="E77" s="2" t="s">
        <v>299</v>
      </c>
      <c r="F77">
        <v>12</v>
      </c>
      <c r="G77" s="2" t="s">
        <v>228</v>
      </c>
      <c r="H77">
        <v>4200</v>
      </c>
      <c r="I77">
        <v>2900</v>
      </c>
      <c r="J77">
        <v>0</v>
      </c>
      <c r="O77" s="2" t="s">
        <v>300</v>
      </c>
      <c r="P77" s="2" t="s">
        <v>167</v>
      </c>
      <c r="Q77">
        <v>1</v>
      </c>
      <c r="R77">
        <v>44.712000000000003</v>
      </c>
      <c r="S77" s="2" t="s">
        <v>301</v>
      </c>
      <c r="T77" s="2" t="s">
        <v>302</v>
      </c>
    </row>
    <row r="78" spans="1:20">
      <c r="A78">
        <v>31</v>
      </c>
      <c r="B78">
        <v>52</v>
      </c>
      <c r="C78">
        <v>1</v>
      </c>
      <c r="D78" s="2" t="s">
        <v>303</v>
      </c>
      <c r="E78" s="2" t="s">
        <v>304</v>
      </c>
      <c r="F78">
        <v>37</v>
      </c>
      <c r="G78" s="2" t="s">
        <v>228</v>
      </c>
      <c r="H78">
        <v>2100</v>
      </c>
      <c r="I78">
        <v>1450</v>
      </c>
      <c r="J78">
        <v>0</v>
      </c>
      <c r="O78" s="2" t="s">
        <v>305</v>
      </c>
      <c r="P78" s="2" t="s">
        <v>306</v>
      </c>
      <c r="Q78">
        <v>1</v>
      </c>
      <c r="R78">
        <v>116.8733</v>
      </c>
    </row>
    <row r="79" spans="1:20">
      <c r="A79">
        <v>31</v>
      </c>
      <c r="B79">
        <v>53</v>
      </c>
      <c r="C79">
        <v>1</v>
      </c>
      <c r="D79" s="2" t="s">
        <v>307</v>
      </c>
      <c r="E79" s="2" t="s">
        <v>308</v>
      </c>
      <c r="F79">
        <v>1</v>
      </c>
      <c r="G79" s="2" t="s">
        <v>219</v>
      </c>
      <c r="H79">
        <v>25800</v>
      </c>
      <c r="I79">
        <v>18000</v>
      </c>
      <c r="J79">
        <v>0</v>
      </c>
      <c r="P79" s="2" t="s">
        <v>204</v>
      </c>
      <c r="Q79">
        <v>1</v>
      </c>
      <c r="R79">
        <v>1</v>
      </c>
    </row>
    <row r="80" spans="1:20">
      <c r="A80">
        <v>31</v>
      </c>
      <c r="B80">
        <v>54</v>
      </c>
      <c r="C80">
        <v>1</v>
      </c>
      <c r="D80" s="2" t="s">
        <v>309</v>
      </c>
      <c r="E80" s="2" t="s">
        <v>310</v>
      </c>
      <c r="F80">
        <v>1</v>
      </c>
      <c r="G80" s="2" t="s">
        <v>257</v>
      </c>
      <c r="H80">
        <v>176000</v>
      </c>
      <c r="I80">
        <v>123200</v>
      </c>
      <c r="J80">
        <v>0</v>
      </c>
      <c r="P80" s="2" t="s">
        <v>204</v>
      </c>
      <c r="Q80">
        <v>1</v>
      </c>
      <c r="R80">
        <v>1</v>
      </c>
    </row>
    <row r="81" spans="1:20">
      <c r="A81">
        <v>31</v>
      </c>
      <c r="B81">
        <v>55</v>
      </c>
      <c r="C81">
        <v>1</v>
      </c>
      <c r="D81" s="2" t="s">
        <v>311</v>
      </c>
      <c r="E81" s="2" t="s">
        <v>312</v>
      </c>
      <c r="F81">
        <v>55.61</v>
      </c>
      <c r="G81" s="2" t="s">
        <v>203</v>
      </c>
      <c r="H81">
        <v>2200</v>
      </c>
      <c r="I81">
        <v>1500</v>
      </c>
      <c r="J81">
        <v>0</v>
      </c>
      <c r="P81" s="2" t="s">
        <v>167</v>
      </c>
      <c r="Q81">
        <v>1</v>
      </c>
      <c r="R81">
        <v>55.610999999999997</v>
      </c>
      <c r="S81" s="2" t="s">
        <v>313</v>
      </c>
      <c r="T81" s="2" t="s">
        <v>314</v>
      </c>
    </row>
    <row r="82" spans="1:20">
      <c r="A82">
        <v>31</v>
      </c>
      <c r="B82">
        <v>56</v>
      </c>
      <c r="C82">
        <v>1</v>
      </c>
      <c r="D82" s="2" t="s">
        <v>315</v>
      </c>
      <c r="E82" s="2" t="s">
        <v>316</v>
      </c>
      <c r="F82">
        <v>6</v>
      </c>
      <c r="G82" s="2" t="s">
        <v>219</v>
      </c>
      <c r="H82">
        <v>0</v>
      </c>
      <c r="I82">
        <v>0</v>
      </c>
      <c r="J82">
        <v>0</v>
      </c>
      <c r="P82" s="2" t="s">
        <v>167</v>
      </c>
      <c r="Q82">
        <v>1</v>
      </c>
      <c r="R82">
        <v>6</v>
      </c>
    </row>
    <row r="83" spans="1:20">
      <c r="A83">
        <v>31</v>
      </c>
      <c r="B83">
        <v>57</v>
      </c>
      <c r="C83">
        <v>1</v>
      </c>
      <c r="D83" s="2" t="s">
        <v>315</v>
      </c>
      <c r="E83" s="2" t="s">
        <v>317</v>
      </c>
      <c r="F83">
        <v>1</v>
      </c>
      <c r="G83" s="2" t="s">
        <v>163</v>
      </c>
      <c r="H83">
        <v>29000</v>
      </c>
      <c r="I83">
        <v>20300</v>
      </c>
      <c r="J83">
        <v>0</v>
      </c>
      <c r="P83" s="2" t="s">
        <v>167</v>
      </c>
      <c r="Q83">
        <v>1</v>
      </c>
      <c r="R83">
        <v>1</v>
      </c>
    </row>
    <row r="84" spans="1:20">
      <c r="A84">
        <v>31</v>
      </c>
      <c r="B84">
        <v>58</v>
      </c>
      <c r="C84">
        <v>1</v>
      </c>
      <c r="D84" s="2" t="s">
        <v>318</v>
      </c>
      <c r="E84" s="2" t="s">
        <v>308</v>
      </c>
      <c r="F84">
        <v>1</v>
      </c>
      <c r="G84" s="2" t="s">
        <v>219</v>
      </c>
      <c r="H84">
        <v>50000</v>
      </c>
      <c r="I84">
        <v>35000</v>
      </c>
      <c r="J84">
        <v>0</v>
      </c>
      <c r="P84" s="2" t="s">
        <v>204</v>
      </c>
      <c r="Q84">
        <v>1</v>
      </c>
      <c r="R84">
        <v>1</v>
      </c>
    </row>
    <row r="85" spans="1:20">
      <c r="A85">
        <v>31</v>
      </c>
      <c r="B85">
        <v>59</v>
      </c>
      <c r="C85">
        <v>1</v>
      </c>
      <c r="D85" s="2" t="s">
        <v>319</v>
      </c>
      <c r="E85" s="2" t="s">
        <v>320</v>
      </c>
      <c r="F85">
        <v>1</v>
      </c>
      <c r="G85" s="2" t="s">
        <v>163</v>
      </c>
      <c r="H85">
        <v>57200</v>
      </c>
      <c r="I85">
        <v>40000</v>
      </c>
      <c r="J85">
        <v>0</v>
      </c>
      <c r="K85" s="2" t="s">
        <v>232</v>
      </c>
      <c r="P85" s="2" t="s">
        <v>167</v>
      </c>
      <c r="Q85">
        <v>1</v>
      </c>
      <c r="R85">
        <v>1</v>
      </c>
    </row>
    <row r="86" spans="1:20">
      <c r="A86">
        <v>31</v>
      </c>
      <c r="B86">
        <v>60</v>
      </c>
      <c r="C86">
        <v>1</v>
      </c>
      <c r="D86" s="2" t="s">
        <v>321</v>
      </c>
      <c r="F86">
        <v>1</v>
      </c>
      <c r="G86" s="2" t="s">
        <v>163</v>
      </c>
      <c r="H86">
        <v>71500</v>
      </c>
      <c r="I86">
        <v>50000</v>
      </c>
      <c r="J86">
        <v>0</v>
      </c>
      <c r="P86" s="2" t="s">
        <v>167</v>
      </c>
      <c r="Q86">
        <v>1</v>
      </c>
      <c r="R86">
        <v>1</v>
      </c>
    </row>
    <row r="87" spans="1:20">
      <c r="A87">
        <v>31</v>
      </c>
      <c r="B87">
        <v>61</v>
      </c>
      <c r="C87">
        <v>1</v>
      </c>
      <c r="D87" s="2" t="s">
        <v>322</v>
      </c>
      <c r="F87">
        <v>1</v>
      </c>
      <c r="G87" s="2" t="s">
        <v>163</v>
      </c>
      <c r="H87">
        <v>71500</v>
      </c>
      <c r="I87">
        <v>50000</v>
      </c>
      <c r="J87">
        <v>0</v>
      </c>
      <c r="P87" s="2" t="s">
        <v>167</v>
      </c>
      <c r="Q87">
        <v>1</v>
      </c>
      <c r="R87">
        <v>1</v>
      </c>
    </row>
    <row r="88" spans="1:20">
      <c r="A88">
        <v>31</v>
      </c>
      <c r="B88">
        <v>62</v>
      </c>
      <c r="C88">
        <v>1</v>
      </c>
      <c r="D88" s="2" t="s">
        <v>323</v>
      </c>
      <c r="F88">
        <v>5.46</v>
      </c>
      <c r="G88" s="2" t="s">
        <v>203</v>
      </c>
      <c r="H88">
        <v>7200</v>
      </c>
      <c r="I88">
        <v>5000</v>
      </c>
      <c r="J88">
        <v>0</v>
      </c>
      <c r="P88" s="2" t="s">
        <v>167</v>
      </c>
      <c r="Q88">
        <v>1</v>
      </c>
      <c r="R88">
        <v>1</v>
      </c>
    </row>
    <row r="89" spans="1:20">
      <c r="A89">
        <v>31</v>
      </c>
      <c r="B89">
        <v>63</v>
      </c>
      <c r="C89">
        <v>1</v>
      </c>
      <c r="D89" s="2" t="s">
        <v>324</v>
      </c>
      <c r="E89" s="2" t="s">
        <v>325</v>
      </c>
      <c r="F89">
        <v>1</v>
      </c>
      <c r="G89" s="2" t="s">
        <v>219</v>
      </c>
      <c r="H89">
        <v>11500</v>
      </c>
      <c r="I89">
        <v>8000</v>
      </c>
      <c r="J89">
        <v>0</v>
      </c>
      <c r="P89" s="2" t="s">
        <v>204</v>
      </c>
      <c r="Q89">
        <v>1</v>
      </c>
      <c r="R89">
        <v>1</v>
      </c>
    </row>
    <row r="90" spans="1:20">
      <c r="A90">
        <v>31</v>
      </c>
      <c r="B90">
        <v>64</v>
      </c>
      <c r="C90">
        <v>1</v>
      </c>
      <c r="D90" s="2" t="s">
        <v>326</v>
      </c>
      <c r="E90" s="2" t="s">
        <v>327</v>
      </c>
      <c r="F90">
        <v>6</v>
      </c>
      <c r="G90" s="2" t="s">
        <v>291</v>
      </c>
      <c r="H90">
        <v>1900</v>
      </c>
      <c r="I90">
        <v>1300</v>
      </c>
      <c r="J90">
        <v>0</v>
      </c>
      <c r="P90" s="2" t="s">
        <v>167</v>
      </c>
      <c r="Q90">
        <v>1</v>
      </c>
      <c r="R90">
        <v>1</v>
      </c>
    </row>
    <row r="91" spans="1:20">
      <c r="A91">
        <v>31</v>
      </c>
      <c r="B91">
        <v>65</v>
      </c>
      <c r="C91">
        <v>1</v>
      </c>
      <c r="D91" s="2" t="s">
        <v>328</v>
      </c>
      <c r="F91">
        <v>1</v>
      </c>
      <c r="G91" s="2" t="s">
        <v>228</v>
      </c>
      <c r="H91">
        <v>7200</v>
      </c>
      <c r="I91">
        <v>5000</v>
      </c>
      <c r="J91">
        <v>0</v>
      </c>
      <c r="P91" s="2" t="s">
        <v>167</v>
      </c>
      <c r="Q91">
        <v>1</v>
      </c>
      <c r="R91">
        <v>1</v>
      </c>
    </row>
    <row r="92" spans="1:20">
      <c r="A92">
        <v>31</v>
      </c>
      <c r="B92">
        <v>66</v>
      </c>
      <c r="C92">
        <v>1</v>
      </c>
      <c r="D92" s="2" t="s">
        <v>329</v>
      </c>
      <c r="E92" s="2" t="s">
        <v>330</v>
      </c>
      <c r="F92">
        <v>1</v>
      </c>
      <c r="G92" s="2" t="s">
        <v>163</v>
      </c>
      <c r="H92">
        <v>14300</v>
      </c>
      <c r="I92">
        <v>10000</v>
      </c>
      <c r="J92">
        <v>0</v>
      </c>
      <c r="P92" s="2" t="s">
        <v>167</v>
      </c>
      <c r="Q92">
        <v>1</v>
      </c>
      <c r="R92">
        <v>1</v>
      </c>
    </row>
    <row r="93" spans="1:20">
      <c r="A93">
        <v>31</v>
      </c>
      <c r="B93">
        <v>67</v>
      </c>
      <c r="C93">
        <v>1</v>
      </c>
      <c r="D93" s="2" t="s">
        <v>331</v>
      </c>
      <c r="E93" s="2" t="s">
        <v>332</v>
      </c>
      <c r="F93">
        <v>1</v>
      </c>
      <c r="G93" s="2" t="s">
        <v>219</v>
      </c>
      <c r="H93">
        <v>160000</v>
      </c>
      <c r="I93">
        <v>112000</v>
      </c>
      <c r="J93">
        <v>0</v>
      </c>
      <c r="P93" s="2" t="s">
        <v>204</v>
      </c>
      <c r="Q93">
        <v>1</v>
      </c>
      <c r="R93">
        <v>1</v>
      </c>
    </row>
    <row r="94" spans="1:20">
      <c r="A94">
        <v>31</v>
      </c>
      <c r="B94">
        <v>68</v>
      </c>
      <c r="C94">
        <v>1</v>
      </c>
      <c r="D94" s="2" t="s">
        <v>333</v>
      </c>
      <c r="E94" s="2" t="s">
        <v>334</v>
      </c>
      <c r="F94">
        <v>2</v>
      </c>
      <c r="G94" s="2" t="s">
        <v>203</v>
      </c>
      <c r="H94">
        <v>2900</v>
      </c>
      <c r="I94">
        <v>2000</v>
      </c>
      <c r="J94">
        <v>0</v>
      </c>
      <c r="P94" s="2" t="s">
        <v>167</v>
      </c>
      <c r="Q94">
        <v>1</v>
      </c>
      <c r="R94">
        <v>1</v>
      </c>
    </row>
    <row r="95" spans="1:20">
      <c r="A95">
        <v>31</v>
      </c>
      <c r="B95">
        <v>69</v>
      </c>
      <c r="C95">
        <v>1</v>
      </c>
      <c r="D95" s="2" t="s">
        <v>333</v>
      </c>
      <c r="E95" s="2" t="s">
        <v>335</v>
      </c>
      <c r="F95">
        <v>1</v>
      </c>
      <c r="G95" s="2" t="s">
        <v>219</v>
      </c>
      <c r="H95">
        <v>2900</v>
      </c>
      <c r="I95">
        <v>2000</v>
      </c>
      <c r="J95">
        <v>0</v>
      </c>
      <c r="P95" s="2" t="s">
        <v>167</v>
      </c>
      <c r="Q95">
        <v>1</v>
      </c>
      <c r="R95">
        <v>1</v>
      </c>
    </row>
    <row r="96" spans="1:20">
      <c r="A96">
        <v>31</v>
      </c>
      <c r="B96">
        <v>70</v>
      </c>
      <c r="C96">
        <v>1</v>
      </c>
      <c r="D96" s="2" t="s">
        <v>336</v>
      </c>
      <c r="E96" s="2" t="s">
        <v>337</v>
      </c>
      <c r="F96">
        <v>1</v>
      </c>
      <c r="G96" s="2" t="s">
        <v>163</v>
      </c>
      <c r="H96">
        <v>57200</v>
      </c>
      <c r="I96">
        <v>40000</v>
      </c>
      <c r="J96">
        <v>0</v>
      </c>
      <c r="P96" s="2" t="s">
        <v>167</v>
      </c>
      <c r="Q96">
        <v>1</v>
      </c>
      <c r="R96">
        <v>1</v>
      </c>
    </row>
    <row r="97" spans="1:20">
      <c r="A97">
        <v>31</v>
      </c>
      <c r="B97">
        <v>71</v>
      </c>
      <c r="C97">
        <v>1</v>
      </c>
      <c r="D97" s="2" t="s">
        <v>338</v>
      </c>
      <c r="E97" s="2" t="s">
        <v>339</v>
      </c>
      <c r="F97">
        <v>1</v>
      </c>
      <c r="G97" s="2" t="s">
        <v>257</v>
      </c>
      <c r="H97">
        <v>15800</v>
      </c>
      <c r="I97">
        <v>11000</v>
      </c>
      <c r="J97">
        <v>0</v>
      </c>
      <c r="P97" s="2" t="s">
        <v>167</v>
      </c>
      <c r="Q97">
        <v>1</v>
      </c>
      <c r="R97">
        <v>1</v>
      </c>
    </row>
    <row r="98" spans="1:20">
      <c r="A98">
        <v>31</v>
      </c>
      <c r="B98">
        <v>72</v>
      </c>
      <c r="C98">
        <v>1</v>
      </c>
      <c r="D98" s="2" t="s">
        <v>340</v>
      </c>
      <c r="E98" s="2" t="s">
        <v>339</v>
      </c>
      <c r="F98">
        <v>1</v>
      </c>
      <c r="G98" s="2" t="s">
        <v>163</v>
      </c>
      <c r="H98">
        <v>4300</v>
      </c>
      <c r="I98">
        <v>3000</v>
      </c>
      <c r="J98">
        <v>0</v>
      </c>
      <c r="P98" s="2" t="s">
        <v>167</v>
      </c>
      <c r="Q98">
        <v>1</v>
      </c>
      <c r="R98">
        <v>1</v>
      </c>
    </row>
    <row r="99" spans="1:20">
      <c r="A99">
        <v>31</v>
      </c>
      <c r="B99">
        <v>73</v>
      </c>
      <c r="C99">
        <v>1</v>
      </c>
      <c r="D99" s="2" t="s">
        <v>341</v>
      </c>
      <c r="E99" s="2" t="s">
        <v>342</v>
      </c>
      <c r="F99">
        <v>1</v>
      </c>
      <c r="G99" s="2" t="s">
        <v>219</v>
      </c>
      <c r="H99">
        <v>27500</v>
      </c>
      <c r="I99">
        <v>19200</v>
      </c>
      <c r="J99">
        <v>0</v>
      </c>
      <c r="P99" s="2" t="s">
        <v>204</v>
      </c>
      <c r="Q99">
        <v>1</v>
      </c>
      <c r="R99">
        <v>1</v>
      </c>
    </row>
    <row r="100" spans="1:20">
      <c r="A100">
        <v>31</v>
      </c>
      <c r="B100">
        <v>74</v>
      </c>
      <c r="C100">
        <v>1</v>
      </c>
      <c r="D100" s="2" t="s">
        <v>343</v>
      </c>
      <c r="E100" s="2" t="s">
        <v>337</v>
      </c>
      <c r="F100">
        <v>1</v>
      </c>
      <c r="G100" s="2" t="s">
        <v>219</v>
      </c>
      <c r="H100">
        <v>22900</v>
      </c>
      <c r="I100">
        <v>16000</v>
      </c>
      <c r="J100">
        <v>0</v>
      </c>
      <c r="P100" s="2" t="s">
        <v>204</v>
      </c>
      <c r="Q100">
        <v>1</v>
      </c>
      <c r="R100">
        <v>1</v>
      </c>
    </row>
    <row r="101" spans="1:20">
      <c r="A101">
        <v>31</v>
      </c>
      <c r="B101">
        <v>75</v>
      </c>
      <c r="C101">
        <v>1</v>
      </c>
      <c r="D101" s="2" t="s">
        <v>344</v>
      </c>
      <c r="F101">
        <v>1</v>
      </c>
      <c r="G101" s="2" t="s">
        <v>163</v>
      </c>
      <c r="H101">
        <v>475000</v>
      </c>
      <c r="I101">
        <v>0</v>
      </c>
      <c r="J101">
        <v>0</v>
      </c>
      <c r="P101" s="2" t="s">
        <v>167</v>
      </c>
      <c r="Q101">
        <v>1</v>
      </c>
      <c r="R101">
        <v>1</v>
      </c>
    </row>
    <row r="102" spans="1:20">
      <c r="A102">
        <v>31</v>
      </c>
      <c r="B102">
        <v>76</v>
      </c>
      <c r="C102">
        <v>1</v>
      </c>
      <c r="D102" s="2" t="s">
        <v>345</v>
      </c>
      <c r="E102" s="2" t="s">
        <v>346</v>
      </c>
      <c r="F102">
        <v>1</v>
      </c>
      <c r="G102" s="2" t="s">
        <v>347</v>
      </c>
      <c r="H102">
        <v>17200</v>
      </c>
      <c r="I102">
        <v>12000</v>
      </c>
      <c r="J102">
        <v>0</v>
      </c>
      <c r="P102" s="2" t="s">
        <v>167</v>
      </c>
      <c r="Q102">
        <v>1</v>
      </c>
      <c r="R102">
        <v>1</v>
      </c>
    </row>
    <row r="103" spans="1:20">
      <c r="A103">
        <v>77</v>
      </c>
      <c r="B103">
        <v>78</v>
      </c>
      <c r="C103">
        <v>1</v>
      </c>
      <c r="D103" s="2" t="s">
        <v>349</v>
      </c>
      <c r="E103" s="2" t="s">
        <v>350</v>
      </c>
      <c r="F103">
        <v>34.880000000000003</v>
      </c>
      <c r="G103" s="2" t="s">
        <v>213</v>
      </c>
      <c r="H103">
        <v>42900</v>
      </c>
      <c r="I103">
        <v>30000</v>
      </c>
      <c r="J103">
        <v>0</v>
      </c>
      <c r="O103" s="2" t="s">
        <v>182</v>
      </c>
      <c r="P103" s="2" t="s">
        <v>167</v>
      </c>
      <c r="Q103">
        <v>1</v>
      </c>
      <c r="R103">
        <v>115.3</v>
      </c>
      <c r="S103" s="2" t="s">
        <v>351</v>
      </c>
      <c r="T103" s="2" t="s">
        <v>352</v>
      </c>
    </row>
    <row r="104" spans="1:20">
      <c r="A104">
        <v>77</v>
      </c>
      <c r="B104">
        <v>79</v>
      </c>
      <c r="C104">
        <v>1</v>
      </c>
      <c r="D104" s="2" t="s">
        <v>353</v>
      </c>
      <c r="F104">
        <v>4</v>
      </c>
      <c r="G104" s="2" t="s">
        <v>219</v>
      </c>
      <c r="H104">
        <v>7200</v>
      </c>
      <c r="I104">
        <v>5000</v>
      </c>
      <c r="J104">
        <v>0</v>
      </c>
      <c r="P104" s="2" t="s">
        <v>167</v>
      </c>
      <c r="Q104">
        <v>1</v>
      </c>
      <c r="R104">
        <v>4</v>
      </c>
      <c r="S104" s="2" t="s">
        <v>220</v>
      </c>
      <c r="T104" s="2" t="s">
        <v>221</v>
      </c>
    </row>
    <row r="105" spans="1:20">
      <c r="A105">
        <v>77</v>
      </c>
      <c r="B105">
        <v>80</v>
      </c>
      <c r="C105">
        <v>1</v>
      </c>
      <c r="D105" s="2" t="s">
        <v>354</v>
      </c>
      <c r="F105">
        <v>2.0699999999999998</v>
      </c>
      <c r="G105" s="2" t="s">
        <v>176</v>
      </c>
      <c r="H105">
        <v>8600</v>
      </c>
      <c r="I105">
        <v>6000</v>
      </c>
      <c r="J105">
        <v>0</v>
      </c>
      <c r="P105" s="2" t="s">
        <v>167</v>
      </c>
      <c r="Q105">
        <v>1</v>
      </c>
      <c r="R105">
        <v>2.0699999999999998</v>
      </c>
      <c r="S105" s="2" t="s">
        <v>355</v>
      </c>
      <c r="T105" s="2" t="s">
        <v>356</v>
      </c>
    </row>
    <row r="106" spans="1:20">
      <c r="A106">
        <v>77</v>
      </c>
      <c r="B106">
        <v>81</v>
      </c>
      <c r="C106">
        <v>1</v>
      </c>
      <c r="D106" s="2" t="s">
        <v>357</v>
      </c>
      <c r="F106">
        <v>1</v>
      </c>
      <c r="G106" s="2" t="s">
        <v>163</v>
      </c>
      <c r="H106">
        <v>142900</v>
      </c>
      <c r="I106">
        <v>100000</v>
      </c>
      <c r="J106">
        <v>0</v>
      </c>
      <c r="P106" s="2" t="s">
        <v>167</v>
      </c>
      <c r="Q106">
        <v>1</v>
      </c>
      <c r="R106">
        <v>0</v>
      </c>
    </row>
    <row r="107" spans="1:20">
      <c r="A107">
        <v>77</v>
      </c>
      <c r="B107">
        <v>82</v>
      </c>
      <c r="C107">
        <v>1</v>
      </c>
      <c r="D107" s="2" t="s">
        <v>358</v>
      </c>
      <c r="F107">
        <v>3</v>
      </c>
      <c r="G107" s="2" t="s">
        <v>219</v>
      </c>
      <c r="H107">
        <v>15800</v>
      </c>
      <c r="I107">
        <v>11000</v>
      </c>
      <c r="J107">
        <v>0</v>
      </c>
      <c r="P107" s="2" t="s">
        <v>167</v>
      </c>
      <c r="Q107">
        <v>1</v>
      </c>
      <c r="R107">
        <v>3</v>
      </c>
    </row>
    <row r="108" spans="1:20">
      <c r="A108">
        <v>77</v>
      </c>
      <c r="B108">
        <v>83</v>
      </c>
      <c r="C108">
        <v>1</v>
      </c>
      <c r="D108" s="2" t="s">
        <v>359</v>
      </c>
      <c r="E108" s="2" t="s">
        <v>360</v>
      </c>
      <c r="F108">
        <v>3.52</v>
      </c>
      <c r="G108" s="2" t="s">
        <v>176</v>
      </c>
      <c r="H108">
        <v>2900</v>
      </c>
      <c r="I108">
        <v>2000</v>
      </c>
      <c r="J108">
        <v>0</v>
      </c>
      <c r="P108" s="2" t="s">
        <v>167</v>
      </c>
      <c r="Q108">
        <v>1</v>
      </c>
      <c r="R108">
        <v>3.52</v>
      </c>
      <c r="S108" s="2" t="s">
        <v>224</v>
      </c>
      <c r="T108" s="2" t="s">
        <v>225</v>
      </c>
    </row>
    <row r="109" spans="1:20">
      <c r="A109">
        <v>77</v>
      </c>
      <c r="B109">
        <v>84</v>
      </c>
      <c r="C109">
        <v>1</v>
      </c>
      <c r="D109" s="2" t="s">
        <v>361</v>
      </c>
      <c r="E109" s="2" t="s">
        <v>362</v>
      </c>
      <c r="F109">
        <v>115.3</v>
      </c>
      <c r="G109" s="2" t="s">
        <v>176</v>
      </c>
      <c r="H109">
        <v>1500</v>
      </c>
      <c r="I109">
        <v>1000</v>
      </c>
      <c r="J109">
        <v>0</v>
      </c>
      <c r="P109" s="2" t="s">
        <v>167</v>
      </c>
      <c r="Q109">
        <v>1</v>
      </c>
      <c r="R109">
        <v>115.3</v>
      </c>
      <c r="S109" s="2" t="s">
        <v>363</v>
      </c>
      <c r="T109" s="2" t="s">
        <v>364</v>
      </c>
    </row>
    <row r="110" spans="1:20">
      <c r="A110">
        <v>77</v>
      </c>
      <c r="B110">
        <v>85</v>
      </c>
      <c r="C110">
        <v>1</v>
      </c>
      <c r="D110" s="2" t="s">
        <v>365</v>
      </c>
      <c r="E110" s="2" t="s">
        <v>366</v>
      </c>
      <c r="F110">
        <v>26.01</v>
      </c>
      <c r="G110" s="2" t="s">
        <v>176</v>
      </c>
      <c r="H110">
        <v>1500</v>
      </c>
      <c r="I110">
        <v>1000</v>
      </c>
      <c r="J110">
        <v>0</v>
      </c>
      <c r="K110" s="2" t="s">
        <v>367</v>
      </c>
      <c r="P110" s="2" t="s">
        <v>167</v>
      </c>
      <c r="Q110">
        <v>1</v>
      </c>
      <c r="R110">
        <v>23.927199999999999</v>
      </c>
      <c r="S110" s="2" t="s">
        <v>368</v>
      </c>
      <c r="T110" s="2" t="s">
        <v>369</v>
      </c>
    </row>
    <row r="111" spans="1:20">
      <c r="A111">
        <v>77</v>
      </c>
      <c r="B111">
        <v>86</v>
      </c>
      <c r="C111">
        <v>1</v>
      </c>
      <c r="D111" s="2" t="s">
        <v>370</v>
      </c>
      <c r="E111" s="2" t="s">
        <v>366</v>
      </c>
      <c r="F111">
        <v>26.01</v>
      </c>
      <c r="G111" s="2" t="s">
        <v>176</v>
      </c>
      <c r="H111">
        <v>1500</v>
      </c>
      <c r="I111">
        <v>1000</v>
      </c>
      <c r="J111">
        <v>0</v>
      </c>
      <c r="K111" s="2" t="s">
        <v>367</v>
      </c>
      <c r="P111" s="2" t="s">
        <v>167</v>
      </c>
      <c r="Q111">
        <v>1</v>
      </c>
      <c r="R111">
        <v>23.927199999999999</v>
      </c>
      <c r="S111" s="2" t="s">
        <v>368</v>
      </c>
      <c r="T111" s="2" t="s">
        <v>369</v>
      </c>
    </row>
    <row r="112" spans="1:20">
      <c r="A112">
        <v>77</v>
      </c>
      <c r="B112">
        <v>87</v>
      </c>
      <c r="C112">
        <v>1</v>
      </c>
      <c r="D112" s="2" t="s">
        <v>371</v>
      </c>
      <c r="E112" s="2" t="s">
        <v>372</v>
      </c>
      <c r="F112">
        <v>3</v>
      </c>
      <c r="G112" s="2" t="s">
        <v>219</v>
      </c>
      <c r="H112">
        <v>4300</v>
      </c>
      <c r="I112">
        <v>3000</v>
      </c>
      <c r="J112">
        <v>0</v>
      </c>
      <c r="P112" s="2" t="s">
        <v>167</v>
      </c>
      <c r="Q112">
        <v>1</v>
      </c>
      <c r="R112">
        <v>3</v>
      </c>
      <c r="S112" s="2" t="s">
        <v>368</v>
      </c>
      <c r="T112" s="2" t="s">
        <v>373</v>
      </c>
    </row>
    <row r="113" spans="1:20">
      <c r="A113">
        <v>77</v>
      </c>
      <c r="B113">
        <v>88</v>
      </c>
      <c r="C113">
        <v>1</v>
      </c>
      <c r="D113" s="2" t="s">
        <v>374</v>
      </c>
      <c r="F113">
        <v>1</v>
      </c>
      <c r="G113" s="2" t="s">
        <v>219</v>
      </c>
      <c r="H113">
        <v>28600</v>
      </c>
      <c r="I113">
        <v>20000</v>
      </c>
      <c r="J113">
        <v>0</v>
      </c>
      <c r="P113" s="2" t="s">
        <v>167</v>
      </c>
      <c r="Q113">
        <v>1</v>
      </c>
      <c r="R113">
        <v>1</v>
      </c>
    </row>
    <row r="114" spans="1:20">
      <c r="A114">
        <v>77</v>
      </c>
      <c r="B114">
        <v>89</v>
      </c>
      <c r="C114">
        <v>1</v>
      </c>
      <c r="D114" s="2" t="s">
        <v>375</v>
      </c>
      <c r="F114">
        <v>1</v>
      </c>
      <c r="G114" s="2" t="s">
        <v>219</v>
      </c>
      <c r="H114">
        <v>28600</v>
      </c>
      <c r="I114">
        <v>20000</v>
      </c>
      <c r="J114">
        <v>0</v>
      </c>
      <c r="P114" s="2" t="s">
        <v>167</v>
      </c>
      <c r="Q114">
        <v>1</v>
      </c>
      <c r="R114">
        <v>1</v>
      </c>
    </row>
    <row r="115" spans="1:20">
      <c r="A115">
        <v>77</v>
      </c>
      <c r="B115">
        <v>90</v>
      </c>
      <c r="C115">
        <v>1</v>
      </c>
      <c r="D115" s="2" t="s">
        <v>376</v>
      </c>
      <c r="F115">
        <v>6</v>
      </c>
      <c r="G115" s="2" t="s">
        <v>219</v>
      </c>
      <c r="H115">
        <v>2900</v>
      </c>
      <c r="I115">
        <v>2000</v>
      </c>
      <c r="J115">
        <v>0</v>
      </c>
      <c r="P115" s="2" t="s">
        <v>167</v>
      </c>
      <c r="Q115">
        <v>1</v>
      </c>
      <c r="R115">
        <v>6</v>
      </c>
    </row>
    <row r="116" spans="1:20">
      <c r="A116">
        <v>77</v>
      </c>
      <c r="B116">
        <v>91</v>
      </c>
      <c r="C116">
        <v>1</v>
      </c>
      <c r="D116" s="2" t="s">
        <v>377</v>
      </c>
      <c r="E116" s="2" t="s">
        <v>378</v>
      </c>
      <c r="F116">
        <v>115.3</v>
      </c>
      <c r="G116" s="2" t="s">
        <v>176</v>
      </c>
      <c r="H116">
        <v>800</v>
      </c>
      <c r="I116">
        <v>500</v>
      </c>
      <c r="J116">
        <v>0</v>
      </c>
      <c r="P116" s="2" t="s">
        <v>167</v>
      </c>
      <c r="Q116">
        <v>1</v>
      </c>
      <c r="R116">
        <v>115.3</v>
      </c>
      <c r="S116" s="2" t="s">
        <v>379</v>
      </c>
      <c r="T116" s="2" t="s">
        <v>380</v>
      </c>
    </row>
    <row r="117" spans="1:20">
      <c r="A117">
        <v>77</v>
      </c>
      <c r="B117">
        <v>92</v>
      </c>
      <c r="C117">
        <v>1</v>
      </c>
      <c r="D117" s="2" t="s">
        <v>381</v>
      </c>
      <c r="F117">
        <v>115.3</v>
      </c>
      <c r="G117" s="2" t="s">
        <v>176</v>
      </c>
      <c r="H117">
        <v>1500</v>
      </c>
      <c r="I117">
        <v>1000</v>
      </c>
      <c r="J117">
        <v>0</v>
      </c>
      <c r="P117" s="2" t="s">
        <v>167</v>
      </c>
      <c r="Q117">
        <v>1</v>
      </c>
      <c r="R117">
        <v>115.3</v>
      </c>
      <c r="S117" s="2" t="s">
        <v>379</v>
      </c>
      <c r="T117" s="2" t="s">
        <v>380</v>
      </c>
    </row>
    <row r="118" spans="1:20">
      <c r="A118">
        <v>77</v>
      </c>
      <c r="B118">
        <v>93</v>
      </c>
      <c r="C118">
        <v>1</v>
      </c>
      <c r="D118" s="2" t="s">
        <v>382</v>
      </c>
      <c r="E118" s="2" t="s">
        <v>383</v>
      </c>
      <c r="F118">
        <v>2.69</v>
      </c>
      <c r="G118" s="2" t="s">
        <v>176</v>
      </c>
      <c r="H118">
        <v>5800</v>
      </c>
      <c r="I118">
        <v>4000</v>
      </c>
      <c r="J118">
        <v>0</v>
      </c>
      <c r="P118" s="2" t="s">
        <v>167</v>
      </c>
      <c r="Q118">
        <v>1</v>
      </c>
      <c r="R118">
        <v>0</v>
      </c>
    </row>
    <row r="119" spans="1:20">
      <c r="A119">
        <v>77</v>
      </c>
      <c r="B119">
        <v>94</v>
      </c>
      <c r="C119">
        <v>1</v>
      </c>
      <c r="D119" s="2" t="s">
        <v>384</v>
      </c>
      <c r="E119" s="2" t="s">
        <v>337</v>
      </c>
      <c r="F119">
        <v>0.91</v>
      </c>
      <c r="G119" s="2" t="s">
        <v>203</v>
      </c>
      <c r="H119">
        <v>25800</v>
      </c>
      <c r="I119">
        <v>18000</v>
      </c>
      <c r="J119">
        <v>0</v>
      </c>
      <c r="P119" s="2" t="s">
        <v>204</v>
      </c>
      <c r="Q119">
        <v>1</v>
      </c>
      <c r="R119">
        <v>0.91</v>
      </c>
    </row>
    <row r="120" spans="1:20">
      <c r="A120">
        <v>77</v>
      </c>
      <c r="B120">
        <v>95</v>
      </c>
      <c r="C120">
        <v>1</v>
      </c>
      <c r="D120" s="2" t="s">
        <v>385</v>
      </c>
      <c r="F120">
        <v>1</v>
      </c>
      <c r="G120" s="2" t="s">
        <v>163</v>
      </c>
      <c r="H120">
        <v>78600</v>
      </c>
      <c r="I120">
        <v>55000</v>
      </c>
      <c r="J120">
        <v>0</v>
      </c>
      <c r="O120" s="2" t="s">
        <v>386</v>
      </c>
      <c r="P120" s="2" t="s">
        <v>167</v>
      </c>
      <c r="Q120">
        <v>1</v>
      </c>
      <c r="R120">
        <v>1</v>
      </c>
    </row>
    <row r="121" spans="1:20">
      <c r="A121">
        <v>77</v>
      </c>
      <c r="B121">
        <v>96</v>
      </c>
      <c r="C121">
        <v>1</v>
      </c>
      <c r="D121" s="2" t="s">
        <v>387</v>
      </c>
      <c r="E121" s="2" t="s">
        <v>388</v>
      </c>
      <c r="F121">
        <v>1</v>
      </c>
      <c r="G121" s="2" t="s">
        <v>163</v>
      </c>
      <c r="H121">
        <v>71500</v>
      </c>
      <c r="I121">
        <v>50000</v>
      </c>
      <c r="J121">
        <v>0</v>
      </c>
      <c r="P121" s="2" t="s">
        <v>167</v>
      </c>
      <c r="Q121">
        <v>1</v>
      </c>
      <c r="R121">
        <v>1</v>
      </c>
    </row>
    <row r="122" spans="1:20">
      <c r="A122">
        <v>77</v>
      </c>
      <c r="B122">
        <v>97</v>
      </c>
      <c r="C122">
        <v>1</v>
      </c>
      <c r="D122" s="2" t="s">
        <v>387</v>
      </c>
      <c r="E122" s="2" t="s">
        <v>389</v>
      </c>
      <c r="F122">
        <v>15.3</v>
      </c>
      <c r="G122" s="2" t="s">
        <v>176</v>
      </c>
      <c r="H122">
        <v>580</v>
      </c>
      <c r="I122">
        <v>400</v>
      </c>
      <c r="J122">
        <v>0</v>
      </c>
      <c r="P122" s="2" t="s">
        <v>167</v>
      </c>
      <c r="Q122">
        <v>1</v>
      </c>
      <c r="R122">
        <v>15.3</v>
      </c>
      <c r="S122" s="2" t="s">
        <v>224</v>
      </c>
      <c r="T122" s="2" t="s">
        <v>390</v>
      </c>
    </row>
    <row r="123" spans="1:20">
      <c r="A123">
        <v>77</v>
      </c>
      <c r="B123">
        <v>98</v>
      </c>
      <c r="C123">
        <v>1</v>
      </c>
      <c r="D123" s="2" t="s">
        <v>391</v>
      </c>
      <c r="E123" s="2" t="s">
        <v>392</v>
      </c>
      <c r="F123">
        <v>1</v>
      </c>
      <c r="G123" s="2" t="s">
        <v>163</v>
      </c>
      <c r="H123">
        <v>21500</v>
      </c>
      <c r="I123">
        <v>15000</v>
      </c>
      <c r="J123">
        <v>0</v>
      </c>
      <c r="P123" s="2" t="s">
        <v>167</v>
      </c>
      <c r="Q123">
        <v>1</v>
      </c>
      <c r="R123">
        <v>1</v>
      </c>
    </row>
    <row r="124" spans="1:20">
      <c r="A124">
        <v>77</v>
      </c>
      <c r="B124">
        <v>99</v>
      </c>
      <c r="C124">
        <v>1</v>
      </c>
      <c r="D124" s="2" t="s">
        <v>393</v>
      </c>
      <c r="E124" s="2" t="s">
        <v>394</v>
      </c>
      <c r="F124">
        <v>1</v>
      </c>
      <c r="G124" s="2" t="s">
        <v>163</v>
      </c>
      <c r="H124">
        <v>107200</v>
      </c>
      <c r="I124">
        <v>75000</v>
      </c>
      <c r="J124">
        <v>0</v>
      </c>
      <c r="P124" s="2" t="s">
        <v>167</v>
      </c>
      <c r="Q124">
        <v>1</v>
      </c>
      <c r="R124">
        <v>1</v>
      </c>
    </row>
    <row r="125" spans="1:20">
      <c r="A125">
        <v>77</v>
      </c>
      <c r="B125">
        <v>100</v>
      </c>
      <c r="C125">
        <v>1</v>
      </c>
      <c r="D125" s="2" t="s">
        <v>395</v>
      </c>
      <c r="E125" s="2" t="s">
        <v>396</v>
      </c>
      <c r="F125">
        <v>1</v>
      </c>
      <c r="G125" s="2" t="s">
        <v>163</v>
      </c>
      <c r="H125">
        <v>74300</v>
      </c>
      <c r="I125">
        <v>52000</v>
      </c>
      <c r="J125">
        <v>0</v>
      </c>
      <c r="P125" s="2" t="s">
        <v>167</v>
      </c>
      <c r="Q125">
        <v>1</v>
      </c>
      <c r="R125">
        <v>1</v>
      </c>
    </row>
    <row r="126" spans="1:20">
      <c r="A126">
        <v>77</v>
      </c>
      <c r="B126">
        <v>101</v>
      </c>
      <c r="C126">
        <v>1</v>
      </c>
      <c r="D126" s="2" t="s">
        <v>397</v>
      </c>
      <c r="E126" s="2" t="s">
        <v>398</v>
      </c>
      <c r="F126">
        <v>1</v>
      </c>
      <c r="G126" s="2" t="s">
        <v>163</v>
      </c>
      <c r="H126">
        <v>135800</v>
      </c>
      <c r="I126">
        <v>95000</v>
      </c>
      <c r="J126">
        <v>0</v>
      </c>
      <c r="P126" s="2" t="s">
        <v>167</v>
      </c>
      <c r="Q126">
        <v>1</v>
      </c>
      <c r="R126">
        <v>1</v>
      </c>
    </row>
    <row r="127" spans="1:20">
      <c r="A127">
        <v>77</v>
      </c>
      <c r="B127">
        <v>102</v>
      </c>
      <c r="C127">
        <v>1</v>
      </c>
      <c r="D127" s="2" t="s">
        <v>399</v>
      </c>
      <c r="F127">
        <v>1</v>
      </c>
      <c r="G127" s="2" t="s">
        <v>163</v>
      </c>
      <c r="H127">
        <v>85800</v>
      </c>
      <c r="I127">
        <v>60000</v>
      </c>
      <c r="J127">
        <v>0</v>
      </c>
      <c r="O127" s="2" t="s">
        <v>386</v>
      </c>
      <c r="P127" s="2" t="s">
        <v>167</v>
      </c>
      <c r="Q127">
        <v>1</v>
      </c>
      <c r="R127">
        <v>1</v>
      </c>
    </row>
    <row r="128" spans="1:20">
      <c r="A128">
        <v>77</v>
      </c>
      <c r="B128">
        <v>103</v>
      </c>
      <c r="C128">
        <v>1</v>
      </c>
      <c r="D128" s="2" t="s">
        <v>400</v>
      </c>
      <c r="E128" s="2" t="s">
        <v>401</v>
      </c>
      <c r="F128">
        <v>5.46</v>
      </c>
      <c r="G128" s="2" t="s">
        <v>203</v>
      </c>
      <c r="H128">
        <v>7200</v>
      </c>
      <c r="I128">
        <v>5000</v>
      </c>
      <c r="J128">
        <v>0</v>
      </c>
      <c r="P128" s="2" t="s">
        <v>167</v>
      </c>
      <c r="Q128">
        <v>1</v>
      </c>
      <c r="R128">
        <v>1</v>
      </c>
    </row>
    <row r="129" spans="1:20">
      <c r="A129">
        <v>77</v>
      </c>
      <c r="B129">
        <v>104</v>
      </c>
      <c r="C129">
        <v>1</v>
      </c>
      <c r="D129" s="2" t="s">
        <v>344</v>
      </c>
      <c r="F129">
        <v>1</v>
      </c>
      <c r="G129" s="2" t="s">
        <v>163</v>
      </c>
      <c r="H129">
        <v>475000</v>
      </c>
      <c r="I129">
        <v>0</v>
      </c>
      <c r="J129">
        <v>0</v>
      </c>
      <c r="P129" s="2" t="s">
        <v>167</v>
      </c>
      <c r="Q129">
        <v>1</v>
      </c>
      <c r="R129">
        <v>1</v>
      </c>
    </row>
    <row r="130" spans="1:20">
      <c r="A130">
        <v>108</v>
      </c>
      <c r="B130">
        <v>109</v>
      </c>
      <c r="C130">
        <v>0</v>
      </c>
      <c r="D130" s="2" t="s">
        <v>415</v>
      </c>
      <c r="F130">
        <v>1</v>
      </c>
      <c r="G130" s="2" t="s">
        <v>163</v>
      </c>
      <c r="H130">
        <v>188000</v>
      </c>
      <c r="I130">
        <v>130650</v>
      </c>
      <c r="J130">
        <v>0</v>
      </c>
    </row>
    <row r="131" spans="1:20">
      <c r="A131">
        <v>108</v>
      </c>
      <c r="B131">
        <v>114</v>
      </c>
      <c r="C131">
        <v>0</v>
      </c>
      <c r="D131" s="2" t="s">
        <v>431</v>
      </c>
      <c r="F131">
        <v>1</v>
      </c>
      <c r="G131" s="2" t="s">
        <v>163</v>
      </c>
      <c r="H131">
        <v>289725</v>
      </c>
      <c r="I131">
        <v>201325</v>
      </c>
      <c r="J131">
        <v>0</v>
      </c>
    </row>
    <row r="132" spans="1:20">
      <c r="A132">
        <v>108</v>
      </c>
      <c r="B132">
        <v>120</v>
      </c>
      <c r="C132">
        <v>1</v>
      </c>
      <c r="D132" s="2" t="s">
        <v>446</v>
      </c>
      <c r="E132" s="2" t="s">
        <v>447</v>
      </c>
      <c r="F132">
        <v>204.21</v>
      </c>
      <c r="G132" s="2" t="s">
        <v>176</v>
      </c>
      <c r="H132">
        <v>2100</v>
      </c>
      <c r="I132">
        <v>1450</v>
      </c>
      <c r="J132">
        <v>0</v>
      </c>
      <c r="O132" s="2" t="s">
        <v>448</v>
      </c>
      <c r="P132" s="2" t="s">
        <v>167</v>
      </c>
      <c r="Q132">
        <v>1</v>
      </c>
      <c r="R132">
        <v>204.21170000000001</v>
      </c>
      <c r="S132" s="2" t="s">
        <v>449</v>
      </c>
      <c r="T132" s="2" t="s">
        <v>450</v>
      </c>
    </row>
    <row r="133" spans="1:20">
      <c r="A133">
        <v>108</v>
      </c>
      <c r="B133">
        <v>121</v>
      </c>
      <c r="C133">
        <v>1</v>
      </c>
      <c r="D133" s="2" t="s">
        <v>451</v>
      </c>
      <c r="E133" s="2" t="s">
        <v>452</v>
      </c>
      <c r="F133">
        <v>59.41</v>
      </c>
      <c r="G133" s="2" t="s">
        <v>176</v>
      </c>
      <c r="H133">
        <v>5000</v>
      </c>
      <c r="I133">
        <v>3480</v>
      </c>
      <c r="J133">
        <v>0</v>
      </c>
      <c r="O133" s="2" t="s">
        <v>453</v>
      </c>
      <c r="P133" s="2" t="s">
        <v>167</v>
      </c>
      <c r="Q133">
        <v>1</v>
      </c>
      <c r="R133">
        <v>59.41</v>
      </c>
      <c r="S133" s="2" t="s">
        <v>454</v>
      </c>
      <c r="T133" s="2" t="s">
        <v>455</v>
      </c>
    </row>
    <row r="134" spans="1:20">
      <c r="A134">
        <v>108</v>
      </c>
      <c r="B134">
        <v>122</v>
      </c>
      <c r="C134">
        <v>1</v>
      </c>
      <c r="D134" s="2" t="s">
        <v>456</v>
      </c>
      <c r="E134" s="2" t="s">
        <v>457</v>
      </c>
      <c r="F134">
        <v>55.9</v>
      </c>
      <c r="G134" s="2" t="s">
        <v>176</v>
      </c>
      <c r="H134">
        <v>950</v>
      </c>
      <c r="I134">
        <v>660</v>
      </c>
      <c r="J134">
        <v>0</v>
      </c>
      <c r="P134" s="2" t="s">
        <v>167</v>
      </c>
      <c r="Q134">
        <v>1</v>
      </c>
      <c r="R134">
        <v>55.896799999999999</v>
      </c>
      <c r="S134" s="2" t="s">
        <v>458</v>
      </c>
      <c r="T134" s="2" t="s">
        <v>459</v>
      </c>
    </row>
    <row r="135" spans="1:20">
      <c r="A135">
        <v>109</v>
      </c>
      <c r="B135">
        <v>110</v>
      </c>
      <c r="C135">
        <v>1</v>
      </c>
      <c r="D135" s="2" t="s">
        <v>416</v>
      </c>
      <c r="E135" s="2" t="s">
        <v>417</v>
      </c>
      <c r="F135">
        <v>13</v>
      </c>
      <c r="G135" s="2" t="s">
        <v>291</v>
      </c>
      <c r="H135">
        <v>4200</v>
      </c>
      <c r="I135">
        <v>2900</v>
      </c>
      <c r="J135">
        <v>0</v>
      </c>
      <c r="P135" s="2" t="s">
        <v>167</v>
      </c>
      <c r="Q135">
        <v>1</v>
      </c>
      <c r="R135">
        <v>13</v>
      </c>
      <c r="S135" s="2" t="s">
        <v>418</v>
      </c>
      <c r="T135" s="2" t="s">
        <v>419</v>
      </c>
    </row>
    <row r="136" spans="1:20">
      <c r="A136">
        <v>109</v>
      </c>
      <c r="B136">
        <v>111</v>
      </c>
      <c r="C136">
        <v>1</v>
      </c>
      <c r="D136" s="2" t="s">
        <v>420</v>
      </c>
      <c r="E136" s="2" t="s">
        <v>421</v>
      </c>
      <c r="F136">
        <v>19</v>
      </c>
      <c r="G136" s="2" t="s">
        <v>291</v>
      </c>
      <c r="H136">
        <v>3800</v>
      </c>
      <c r="I136">
        <v>2650</v>
      </c>
      <c r="J136">
        <v>0</v>
      </c>
      <c r="P136" s="2" t="s">
        <v>167</v>
      </c>
      <c r="Q136">
        <v>1</v>
      </c>
      <c r="R136">
        <v>19</v>
      </c>
      <c r="S136" s="2" t="s">
        <v>422</v>
      </c>
      <c r="T136" s="2" t="s">
        <v>423</v>
      </c>
    </row>
    <row r="137" spans="1:20">
      <c r="A137">
        <v>109</v>
      </c>
      <c r="B137">
        <v>112</v>
      </c>
      <c r="C137">
        <v>1</v>
      </c>
      <c r="D137" s="2" t="s">
        <v>424</v>
      </c>
      <c r="E137" s="2" t="s">
        <v>421</v>
      </c>
      <c r="F137">
        <v>4</v>
      </c>
      <c r="G137" s="2" t="s">
        <v>291</v>
      </c>
      <c r="H137">
        <v>3800</v>
      </c>
      <c r="I137">
        <v>2650</v>
      </c>
      <c r="J137">
        <v>0</v>
      </c>
      <c r="P137" s="2" t="s">
        <v>167</v>
      </c>
      <c r="Q137">
        <v>1</v>
      </c>
      <c r="R137">
        <v>4</v>
      </c>
      <c r="S137" s="2" t="s">
        <v>425</v>
      </c>
      <c r="T137" s="2" t="s">
        <v>426</v>
      </c>
    </row>
    <row r="138" spans="1:20">
      <c r="A138">
        <v>109</v>
      </c>
      <c r="B138">
        <v>113</v>
      </c>
      <c r="C138">
        <v>1</v>
      </c>
      <c r="D138" s="2" t="s">
        <v>427</v>
      </c>
      <c r="E138" s="2" t="s">
        <v>428</v>
      </c>
      <c r="F138">
        <v>10</v>
      </c>
      <c r="G138" s="2" t="s">
        <v>291</v>
      </c>
      <c r="H138">
        <v>4600</v>
      </c>
      <c r="I138">
        <v>3200</v>
      </c>
      <c r="J138">
        <v>0</v>
      </c>
      <c r="P138" s="2" t="s">
        <v>167</v>
      </c>
      <c r="Q138">
        <v>1</v>
      </c>
      <c r="R138">
        <v>9.9400999999999993</v>
      </c>
      <c r="S138" s="2" t="s">
        <v>429</v>
      </c>
      <c r="T138" s="2" t="s">
        <v>430</v>
      </c>
    </row>
    <row r="139" spans="1:20">
      <c r="A139">
        <v>114</v>
      </c>
      <c r="B139">
        <v>115</v>
      </c>
      <c r="C139">
        <v>1</v>
      </c>
      <c r="D139" s="2" t="s">
        <v>432</v>
      </c>
      <c r="E139" s="2" t="s">
        <v>433</v>
      </c>
      <c r="F139">
        <v>2</v>
      </c>
      <c r="G139" s="2" t="s">
        <v>228</v>
      </c>
      <c r="H139">
        <v>32200</v>
      </c>
      <c r="I139">
        <v>22500</v>
      </c>
      <c r="J139">
        <v>0</v>
      </c>
      <c r="P139" s="2" t="s">
        <v>167</v>
      </c>
      <c r="Q139">
        <v>1</v>
      </c>
      <c r="R139">
        <v>2</v>
      </c>
      <c r="S139" s="2" t="s">
        <v>434</v>
      </c>
      <c r="T139" s="2" t="s">
        <v>435</v>
      </c>
    </row>
    <row r="140" spans="1:20">
      <c r="A140">
        <v>114</v>
      </c>
      <c r="B140">
        <v>116</v>
      </c>
      <c r="C140">
        <v>1</v>
      </c>
      <c r="D140" s="2" t="s">
        <v>436</v>
      </c>
      <c r="E140" s="2" t="s">
        <v>437</v>
      </c>
      <c r="F140">
        <v>3</v>
      </c>
      <c r="G140" s="2" t="s">
        <v>438</v>
      </c>
      <c r="H140">
        <v>20000</v>
      </c>
      <c r="I140">
        <v>14000</v>
      </c>
      <c r="J140">
        <v>0</v>
      </c>
      <c r="P140" s="2" t="s">
        <v>167</v>
      </c>
      <c r="Q140">
        <v>1</v>
      </c>
      <c r="R140">
        <v>3</v>
      </c>
      <c r="S140" s="2" t="s">
        <v>439</v>
      </c>
      <c r="T140" s="2" t="s">
        <v>440</v>
      </c>
    </row>
    <row r="141" spans="1:20">
      <c r="A141">
        <v>114</v>
      </c>
      <c r="B141">
        <v>117</v>
      </c>
      <c r="C141">
        <v>1</v>
      </c>
      <c r="D141" s="2" t="s">
        <v>441</v>
      </c>
      <c r="F141">
        <v>59.42</v>
      </c>
      <c r="G141" s="2" t="s">
        <v>176</v>
      </c>
      <c r="H141">
        <v>720</v>
      </c>
      <c r="I141">
        <v>500</v>
      </c>
      <c r="J141">
        <v>0</v>
      </c>
      <c r="P141" s="2" t="s">
        <v>167</v>
      </c>
      <c r="Q141">
        <v>1</v>
      </c>
      <c r="R141">
        <v>59.416200000000003</v>
      </c>
      <c r="S141" s="2" t="s">
        <v>442</v>
      </c>
      <c r="T141" s="2" t="s">
        <v>443</v>
      </c>
    </row>
    <row r="142" spans="1:20">
      <c r="A142">
        <v>114</v>
      </c>
      <c r="B142">
        <v>118</v>
      </c>
      <c r="C142">
        <v>1</v>
      </c>
      <c r="D142" s="2" t="s">
        <v>444</v>
      </c>
      <c r="F142">
        <v>59.42</v>
      </c>
      <c r="G142" s="2" t="s">
        <v>176</v>
      </c>
      <c r="H142">
        <v>360</v>
      </c>
      <c r="I142">
        <v>250</v>
      </c>
      <c r="J142">
        <v>0</v>
      </c>
      <c r="P142" s="2" t="s">
        <v>167</v>
      </c>
      <c r="Q142">
        <v>1</v>
      </c>
      <c r="R142">
        <v>59.416200000000003</v>
      </c>
      <c r="S142" s="2" t="s">
        <v>442</v>
      </c>
      <c r="T142" s="2" t="s">
        <v>443</v>
      </c>
    </row>
    <row r="143" spans="1:20">
      <c r="A143">
        <v>114</v>
      </c>
      <c r="B143">
        <v>119</v>
      </c>
      <c r="C143">
        <v>1</v>
      </c>
      <c r="D143" s="2" t="s">
        <v>445</v>
      </c>
      <c r="E143" s="2" t="s">
        <v>348</v>
      </c>
      <c r="F143">
        <v>34.880000000000003</v>
      </c>
      <c r="G143" s="2" t="s">
        <v>213</v>
      </c>
      <c r="H143">
        <v>2900</v>
      </c>
      <c r="I143">
        <v>2000</v>
      </c>
      <c r="J143">
        <v>0</v>
      </c>
      <c r="P143" s="2" t="s">
        <v>167</v>
      </c>
      <c r="Q143">
        <v>1</v>
      </c>
      <c r="R143">
        <v>115.3</v>
      </c>
      <c r="S143" s="2" t="s">
        <v>379</v>
      </c>
      <c r="T143" s="2" t="s">
        <v>380</v>
      </c>
    </row>
    <row r="144" spans="1:20">
      <c r="A144">
        <v>123</v>
      </c>
      <c r="B144">
        <v>124</v>
      </c>
      <c r="C144">
        <v>1</v>
      </c>
      <c r="D144" s="2" t="s">
        <v>461</v>
      </c>
      <c r="F144">
        <v>96.01</v>
      </c>
      <c r="G144" s="2" t="s">
        <v>176</v>
      </c>
      <c r="H144">
        <v>500</v>
      </c>
      <c r="I144">
        <v>350</v>
      </c>
      <c r="J144">
        <v>0</v>
      </c>
      <c r="P144" s="2" t="s">
        <v>167</v>
      </c>
      <c r="Q144">
        <v>1</v>
      </c>
      <c r="R144">
        <v>96.006</v>
      </c>
      <c r="S144" s="2" t="s">
        <v>224</v>
      </c>
      <c r="T144" s="2" t="s">
        <v>284</v>
      </c>
    </row>
    <row r="145" spans="1:20">
      <c r="A145">
        <v>123</v>
      </c>
      <c r="B145">
        <v>125</v>
      </c>
      <c r="C145">
        <v>1</v>
      </c>
      <c r="D145" s="2" t="s">
        <v>462</v>
      </c>
      <c r="E145" s="2" t="s">
        <v>463</v>
      </c>
      <c r="F145">
        <v>96.01</v>
      </c>
      <c r="G145" s="2" t="s">
        <v>176</v>
      </c>
      <c r="H145">
        <v>7200</v>
      </c>
      <c r="I145">
        <v>5000</v>
      </c>
      <c r="J145">
        <v>0</v>
      </c>
      <c r="O145" s="2" t="s">
        <v>464</v>
      </c>
      <c r="P145" s="2" t="s">
        <v>465</v>
      </c>
      <c r="Q145">
        <v>1</v>
      </c>
      <c r="R145">
        <v>96.006</v>
      </c>
    </row>
    <row r="146" spans="1:20">
      <c r="A146">
        <v>126</v>
      </c>
      <c r="B146">
        <v>127</v>
      </c>
      <c r="C146">
        <v>1</v>
      </c>
      <c r="D146" s="2" t="s">
        <v>467</v>
      </c>
      <c r="E146" s="2" t="s">
        <v>468</v>
      </c>
      <c r="F146">
        <v>29.82</v>
      </c>
      <c r="G146" s="2" t="s">
        <v>203</v>
      </c>
      <c r="H146">
        <v>4000</v>
      </c>
      <c r="I146">
        <v>2800</v>
      </c>
      <c r="J146">
        <v>0</v>
      </c>
      <c r="O146" s="2" t="s">
        <v>469</v>
      </c>
      <c r="P146" s="2" t="s">
        <v>167</v>
      </c>
      <c r="Q146">
        <v>1</v>
      </c>
      <c r="R146">
        <v>29.815999999999999</v>
      </c>
      <c r="S146" s="2" t="s">
        <v>368</v>
      </c>
      <c r="T146" s="2" t="s">
        <v>470</v>
      </c>
    </row>
    <row r="147" spans="1:20">
      <c r="A147">
        <v>126</v>
      </c>
      <c r="B147">
        <v>128</v>
      </c>
      <c r="C147">
        <v>1</v>
      </c>
      <c r="D147" s="2" t="s">
        <v>471</v>
      </c>
      <c r="F147">
        <v>5</v>
      </c>
      <c r="G147" s="2" t="s">
        <v>219</v>
      </c>
      <c r="H147">
        <v>2900</v>
      </c>
      <c r="I147">
        <v>2000</v>
      </c>
      <c r="J147">
        <v>0</v>
      </c>
      <c r="K147" s="2" t="s">
        <v>232</v>
      </c>
      <c r="O147" s="2" t="s">
        <v>472</v>
      </c>
      <c r="P147" s="2" t="s">
        <v>167</v>
      </c>
      <c r="Q147">
        <v>1</v>
      </c>
      <c r="R147">
        <v>3</v>
      </c>
      <c r="S147" s="2" t="s">
        <v>368</v>
      </c>
      <c r="T147" s="2" t="s">
        <v>473</v>
      </c>
    </row>
    <row r="148" spans="1:20">
      <c r="A148">
        <v>126</v>
      </c>
      <c r="B148">
        <v>129</v>
      </c>
      <c r="C148">
        <v>1</v>
      </c>
      <c r="D148" s="2" t="s">
        <v>474</v>
      </c>
      <c r="E148" s="2" t="s">
        <v>475</v>
      </c>
      <c r="F148">
        <v>30</v>
      </c>
      <c r="G148" s="2" t="s">
        <v>203</v>
      </c>
      <c r="H148">
        <v>2300</v>
      </c>
      <c r="I148">
        <v>1600</v>
      </c>
      <c r="J148">
        <v>0</v>
      </c>
      <c r="O148" s="2" t="s">
        <v>476</v>
      </c>
      <c r="P148" s="2" t="s">
        <v>167</v>
      </c>
      <c r="Q148">
        <v>1</v>
      </c>
      <c r="R148">
        <v>16.355</v>
      </c>
      <c r="S148" s="2" t="s">
        <v>368</v>
      </c>
      <c r="T148" s="2" t="s">
        <v>477</v>
      </c>
    </row>
    <row r="149" spans="1:20">
      <c r="A149">
        <v>130</v>
      </c>
      <c r="B149">
        <v>131</v>
      </c>
      <c r="C149">
        <v>1</v>
      </c>
      <c r="D149" s="2" t="s">
        <v>479</v>
      </c>
      <c r="E149" s="2" t="s">
        <v>480</v>
      </c>
      <c r="F149">
        <v>1</v>
      </c>
      <c r="G149" s="2" t="s">
        <v>257</v>
      </c>
      <c r="H149">
        <v>27900</v>
      </c>
      <c r="I149">
        <v>19500</v>
      </c>
      <c r="J149">
        <v>0</v>
      </c>
      <c r="P149" s="2" t="s">
        <v>481</v>
      </c>
      <c r="Q149">
        <v>1</v>
      </c>
      <c r="R149">
        <v>1</v>
      </c>
    </row>
    <row r="150" spans="1:20">
      <c r="A150">
        <v>130</v>
      </c>
      <c r="B150">
        <v>132</v>
      </c>
      <c r="C150">
        <v>1</v>
      </c>
      <c r="D150" s="2" t="s">
        <v>482</v>
      </c>
      <c r="E150" s="2" t="s">
        <v>480</v>
      </c>
      <c r="F150">
        <v>1</v>
      </c>
      <c r="G150" s="2" t="s">
        <v>257</v>
      </c>
      <c r="H150">
        <v>38200</v>
      </c>
      <c r="I150">
        <v>26700</v>
      </c>
      <c r="J150">
        <v>0</v>
      </c>
      <c r="P150" s="2" t="s">
        <v>481</v>
      </c>
      <c r="Q150">
        <v>1</v>
      </c>
      <c r="R150">
        <v>1</v>
      </c>
    </row>
    <row r="151" spans="1:20">
      <c r="A151">
        <v>130</v>
      </c>
      <c r="B151">
        <v>133</v>
      </c>
      <c r="C151">
        <v>1</v>
      </c>
      <c r="D151" s="2" t="s">
        <v>483</v>
      </c>
      <c r="E151" s="2" t="s">
        <v>480</v>
      </c>
      <c r="F151">
        <v>1</v>
      </c>
      <c r="G151" s="2" t="s">
        <v>257</v>
      </c>
      <c r="H151">
        <v>52200</v>
      </c>
      <c r="I151">
        <v>36500</v>
      </c>
      <c r="J151">
        <v>0</v>
      </c>
      <c r="P151" s="2" t="s">
        <v>481</v>
      </c>
      <c r="Q151">
        <v>1</v>
      </c>
      <c r="R151">
        <v>1</v>
      </c>
    </row>
    <row r="152" spans="1:20">
      <c r="A152">
        <v>130</v>
      </c>
      <c r="B152">
        <v>134</v>
      </c>
      <c r="C152">
        <v>1</v>
      </c>
      <c r="D152" s="2" t="s">
        <v>484</v>
      </c>
      <c r="E152" s="2" t="s">
        <v>480</v>
      </c>
      <c r="F152">
        <v>3</v>
      </c>
      <c r="G152" s="2" t="s">
        <v>257</v>
      </c>
      <c r="H152">
        <v>66000</v>
      </c>
      <c r="I152">
        <v>46200</v>
      </c>
      <c r="J152">
        <v>0</v>
      </c>
      <c r="P152" s="2" t="s">
        <v>481</v>
      </c>
      <c r="Q152">
        <v>1</v>
      </c>
      <c r="R152">
        <v>3</v>
      </c>
    </row>
    <row r="153" spans="1:20">
      <c r="A153">
        <v>130</v>
      </c>
      <c r="B153">
        <v>135</v>
      </c>
      <c r="C153">
        <v>1</v>
      </c>
      <c r="D153" s="2" t="s">
        <v>485</v>
      </c>
      <c r="E153" s="2" t="s">
        <v>480</v>
      </c>
      <c r="F153">
        <v>1</v>
      </c>
      <c r="G153" s="2" t="s">
        <v>257</v>
      </c>
      <c r="H153">
        <v>296000</v>
      </c>
      <c r="I153">
        <v>207200</v>
      </c>
      <c r="J153">
        <v>0</v>
      </c>
      <c r="P153" s="2" t="s">
        <v>481</v>
      </c>
      <c r="Q153">
        <v>1</v>
      </c>
      <c r="R153">
        <v>1</v>
      </c>
    </row>
    <row r="154" spans="1:20">
      <c r="A154">
        <v>130</v>
      </c>
      <c r="B154">
        <v>136</v>
      </c>
      <c r="C154">
        <v>1</v>
      </c>
      <c r="D154" s="2" t="s">
        <v>486</v>
      </c>
      <c r="E154" s="2" t="s">
        <v>487</v>
      </c>
      <c r="F154">
        <v>1</v>
      </c>
      <c r="G154" s="2" t="s">
        <v>163</v>
      </c>
      <c r="H154">
        <v>79800</v>
      </c>
      <c r="I154">
        <v>55800</v>
      </c>
      <c r="J154">
        <v>0</v>
      </c>
      <c r="K154" s="2" t="s">
        <v>232</v>
      </c>
      <c r="P154" s="2" t="s">
        <v>204</v>
      </c>
      <c r="Q154">
        <v>1</v>
      </c>
      <c r="R154">
        <v>1</v>
      </c>
    </row>
    <row r="155" spans="1:20">
      <c r="A155">
        <v>130</v>
      </c>
      <c r="B155">
        <v>137</v>
      </c>
      <c r="C155">
        <v>1</v>
      </c>
      <c r="D155" s="2" t="s">
        <v>488</v>
      </c>
      <c r="E155" s="2" t="s">
        <v>489</v>
      </c>
      <c r="F155">
        <v>1</v>
      </c>
      <c r="G155" s="2" t="s">
        <v>257</v>
      </c>
      <c r="H155">
        <v>141300</v>
      </c>
      <c r="I155">
        <v>98900</v>
      </c>
      <c r="J155">
        <v>0</v>
      </c>
      <c r="K155" s="2" t="s">
        <v>232</v>
      </c>
      <c r="P155" s="2" t="s">
        <v>167</v>
      </c>
      <c r="Q155">
        <v>1</v>
      </c>
      <c r="R155">
        <v>1</v>
      </c>
    </row>
    <row r="156" spans="1:20">
      <c r="A156">
        <v>130</v>
      </c>
      <c r="B156">
        <v>138</v>
      </c>
      <c r="C156">
        <v>1</v>
      </c>
      <c r="D156" s="2" t="s">
        <v>490</v>
      </c>
      <c r="E156" s="2" t="s">
        <v>491</v>
      </c>
      <c r="F156">
        <v>1</v>
      </c>
      <c r="G156" s="2" t="s">
        <v>257</v>
      </c>
      <c r="H156">
        <v>58900</v>
      </c>
      <c r="I156">
        <v>41200</v>
      </c>
      <c r="J156">
        <v>0</v>
      </c>
      <c r="K156" s="2" t="s">
        <v>232</v>
      </c>
      <c r="P156" s="2" t="s">
        <v>167</v>
      </c>
      <c r="Q156">
        <v>1</v>
      </c>
      <c r="R156">
        <v>1</v>
      </c>
    </row>
    <row r="157" spans="1:20">
      <c r="A157">
        <v>130</v>
      </c>
      <c r="B157">
        <v>139</v>
      </c>
      <c r="C157">
        <v>1</v>
      </c>
      <c r="D157" s="2" t="s">
        <v>492</v>
      </c>
      <c r="E157" s="2" t="s">
        <v>493</v>
      </c>
      <c r="F157">
        <v>1</v>
      </c>
      <c r="G157" s="2" t="s">
        <v>163</v>
      </c>
      <c r="H157">
        <v>63900</v>
      </c>
      <c r="I157">
        <v>44700</v>
      </c>
      <c r="J157">
        <v>0</v>
      </c>
      <c r="K157" s="2" t="s">
        <v>232</v>
      </c>
      <c r="P157" s="2" t="s">
        <v>167</v>
      </c>
      <c r="Q157">
        <v>1</v>
      </c>
      <c r="R157">
        <v>1</v>
      </c>
    </row>
    <row r="158" spans="1:20">
      <c r="A158">
        <v>130</v>
      </c>
      <c r="B158">
        <v>140</v>
      </c>
      <c r="C158">
        <v>1</v>
      </c>
      <c r="D158" s="2" t="s">
        <v>494</v>
      </c>
      <c r="E158" s="2" t="s">
        <v>480</v>
      </c>
      <c r="F158">
        <v>1</v>
      </c>
      <c r="G158" s="2" t="s">
        <v>257</v>
      </c>
      <c r="H158">
        <v>25600</v>
      </c>
      <c r="I158">
        <v>17900</v>
      </c>
      <c r="J158">
        <v>0</v>
      </c>
      <c r="P158" s="2" t="s">
        <v>481</v>
      </c>
      <c r="Q158">
        <v>1</v>
      </c>
      <c r="R158">
        <v>1</v>
      </c>
    </row>
    <row r="159" spans="1:20">
      <c r="A159">
        <v>141</v>
      </c>
      <c r="B159">
        <v>142</v>
      </c>
      <c r="C159">
        <v>1</v>
      </c>
      <c r="D159" s="2" t="s">
        <v>496</v>
      </c>
      <c r="E159" s="2" t="s">
        <v>337</v>
      </c>
      <c r="F159">
        <v>1</v>
      </c>
      <c r="G159" s="2" t="s">
        <v>219</v>
      </c>
      <c r="H159">
        <v>118400</v>
      </c>
      <c r="I159">
        <v>82800</v>
      </c>
      <c r="J159">
        <v>0</v>
      </c>
      <c r="P159" s="2" t="s">
        <v>204</v>
      </c>
      <c r="Q159">
        <v>1</v>
      </c>
      <c r="R159">
        <v>2</v>
      </c>
    </row>
    <row r="160" spans="1:20">
      <c r="A160">
        <v>141</v>
      </c>
      <c r="B160">
        <v>143</v>
      </c>
      <c r="C160">
        <v>1</v>
      </c>
      <c r="D160" s="2" t="s">
        <v>497</v>
      </c>
      <c r="E160" s="2" t="s">
        <v>337</v>
      </c>
      <c r="F160">
        <v>1</v>
      </c>
      <c r="G160" s="2" t="s">
        <v>219</v>
      </c>
      <c r="H160">
        <v>68600</v>
      </c>
      <c r="I160">
        <v>48000</v>
      </c>
      <c r="J160">
        <v>0</v>
      </c>
      <c r="P160" s="2" t="s">
        <v>204</v>
      </c>
      <c r="Q160">
        <v>1</v>
      </c>
      <c r="R160">
        <v>1</v>
      </c>
    </row>
    <row r="161" spans="1:20">
      <c r="A161">
        <v>141</v>
      </c>
      <c r="B161">
        <v>144</v>
      </c>
      <c r="C161">
        <v>1</v>
      </c>
      <c r="D161" s="2" t="s">
        <v>498</v>
      </c>
      <c r="E161" s="2" t="s">
        <v>337</v>
      </c>
      <c r="F161">
        <v>1</v>
      </c>
      <c r="G161" s="2" t="s">
        <v>219</v>
      </c>
      <c r="H161">
        <v>77500</v>
      </c>
      <c r="I161">
        <v>54200</v>
      </c>
      <c r="J161">
        <v>0</v>
      </c>
      <c r="P161" s="2" t="s">
        <v>204</v>
      </c>
      <c r="Q161">
        <v>1</v>
      </c>
      <c r="R161">
        <v>1</v>
      </c>
    </row>
    <row r="162" spans="1:20">
      <c r="A162">
        <v>141</v>
      </c>
      <c r="B162">
        <v>145</v>
      </c>
      <c r="C162">
        <v>1</v>
      </c>
      <c r="D162" s="2" t="s">
        <v>499</v>
      </c>
      <c r="E162" s="2" t="s">
        <v>500</v>
      </c>
      <c r="F162">
        <v>3</v>
      </c>
      <c r="G162" s="2" t="s">
        <v>257</v>
      </c>
      <c r="H162">
        <v>27000</v>
      </c>
      <c r="I162">
        <v>18900</v>
      </c>
      <c r="J162">
        <v>0</v>
      </c>
      <c r="P162" s="2" t="s">
        <v>204</v>
      </c>
      <c r="Q162">
        <v>1</v>
      </c>
      <c r="R162">
        <v>3</v>
      </c>
    </row>
    <row r="163" spans="1:20">
      <c r="A163">
        <v>141</v>
      </c>
      <c r="B163">
        <v>146</v>
      </c>
      <c r="C163">
        <v>1</v>
      </c>
      <c r="D163" s="2" t="s">
        <v>501</v>
      </c>
      <c r="E163" s="2" t="s">
        <v>500</v>
      </c>
      <c r="F163">
        <v>1</v>
      </c>
      <c r="G163" s="2" t="s">
        <v>257</v>
      </c>
      <c r="H163">
        <v>43600</v>
      </c>
      <c r="I163">
        <v>30500</v>
      </c>
      <c r="J163">
        <v>0</v>
      </c>
      <c r="P163" s="2" t="s">
        <v>204</v>
      </c>
      <c r="Q163">
        <v>1</v>
      </c>
      <c r="R163">
        <v>1</v>
      </c>
    </row>
    <row r="164" spans="1:20">
      <c r="A164">
        <v>141</v>
      </c>
      <c r="B164">
        <v>147</v>
      </c>
      <c r="C164">
        <v>1</v>
      </c>
      <c r="D164" s="2" t="s">
        <v>502</v>
      </c>
      <c r="E164" s="2" t="s">
        <v>500</v>
      </c>
      <c r="F164">
        <v>1</v>
      </c>
      <c r="G164" s="2" t="s">
        <v>257</v>
      </c>
      <c r="H164">
        <v>32500</v>
      </c>
      <c r="I164">
        <v>22700</v>
      </c>
      <c r="J164">
        <v>0</v>
      </c>
      <c r="P164" s="2" t="s">
        <v>204</v>
      </c>
      <c r="Q164">
        <v>1</v>
      </c>
      <c r="R164">
        <v>1</v>
      </c>
    </row>
    <row r="165" spans="1:20">
      <c r="A165">
        <v>141</v>
      </c>
      <c r="B165">
        <v>148</v>
      </c>
      <c r="C165">
        <v>1</v>
      </c>
      <c r="D165" s="2" t="s">
        <v>503</v>
      </c>
      <c r="E165" s="2" t="s">
        <v>500</v>
      </c>
      <c r="F165">
        <v>1</v>
      </c>
      <c r="G165" s="2" t="s">
        <v>257</v>
      </c>
      <c r="H165">
        <v>24900</v>
      </c>
      <c r="I165">
        <v>17400</v>
      </c>
      <c r="J165">
        <v>0</v>
      </c>
      <c r="P165" s="2" t="s">
        <v>204</v>
      </c>
      <c r="Q165">
        <v>1</v>
      </c>
      <c r="R165">
        <v>1</v>
      </c>
    </row>
    <row r="166" spans="1:20">
      <c r="A166">
        <v>141</v>
      </c>
      <c r="B166">
        <v>149</v>
      </c>
      <c r="C166">
        <v>1</v>
      </c>
      <c r="D166" s="2" t="s">
        <v>504</v>
      </c>
      <c r="E166" s="2" t="s">
        <v>505</v>
      </c>
      <c r="F166">
        <v>1</v>
      </c>
      <c r="G166" s="2" t="s">
        <v>257</v>
      </c>
      <c r="H166">
        <v>97800</v>
      </c>
      <c r="I166">
        <v>68400</v>
      </c>
      <c r="J166">
        <v>0</v>
      </c>
      <c r="P166" s="2" t="s">
        <v>204</v>
      </c>
      <c r="Q166">
        <v>1</v>
      </c>
      <c r="R166">
        <v>1</v>
      </c>
    </row>
    <row r="167" spans="1:20">
      <c r="A167">
        <v>141</v>
      </c>
      <c r="B167">
        <v>150</v>
      </c>
      <c r="C167">
        <v>1</v>
      </c>
      <c r="D167" s="2" t="s">
        <v>506</v>
      </c>
      <c r="E167" s="2" t="s">
        <v>505</v>
      </c>
      <c r="F167">
        <v>1</v>
      </c>
      <c r="G167" s="2" t="s">
        <v>257</v>
      </c>
      <c r="H167">
        <v>76900</v>
      </c>
      <c r="I167">
        <v>53800</v>
      </c>
      <c r="J167">
        <v>0</v>
      </c>
      <c r="P167" s="2" t="s">
        <v>204</v>
      </c>
      <c r="Q167">
        <v>1</v>
      </c>
      <c r="R167">
        <v>1</v>
      </c>
    </row>
    <row r="168" spans="1:20">
      <c r="A168">
        <v>141</v>
      </c>
      <c r="B168">
        <v>151</v>
      </c>
      <c r="C168">
        <v>1</v>
      </c>
      <c r="D168" s="2" t="s">
        <v>507</v>
      </c>
      <c r="E168" s="2" t="s">
        <v>505</v>
      </c>
      <c r="F168">
        <v>1</v>
      </c>
      <c r="G168" s="2" t="s">
        <v>257</v>
      </c>
      <c r="H168">
        <v>80200</v>
      </c>
      <c r="I168">
        <v>56100</v>
      </c>
      <c r="J168">
        <v>0</v>
      </c>
      <c r="P168" s="2" t="s">
        <v>204</v>
      </c>
      <c r="Q168">
        <v>1</v>
      </c>
      <c r="R168">
        <v>1</v>
      </c>
    </row>
    <row r="169" spans="1:20">
      <c r="A169">
        <v>141</v>
      </c>
      <c r="B169">
        <v>152</v>
      </c>
      <c r="C169">
        <v>1</v>
      </c>
      <c r="D169" s="2" t="s">
        <v>508</v>
      </c>
      <c r="E169" s="2" t="s">
        <v>505</v>
      </c>
      <c r="F169">
        <v>1</v>
      </c>
      <c r="G169" s="2" t="s">
        <v>257</v>
      </c>
      <c r="H169">
        <v>84500</v>
      </c>
      <c r="I169">
        <v>59100</v>
      </c>
      <c r="J169">
        <v>0</v>
      </c>
      <c r="P169" s="2" t="s">
        <v>204</v>
      </c>
      <c r="Q169">
        <v>1</v>
      </c>
      <c r="R169">
        <v>1</v>
      </c>
    </row>
    <row r="170" spans="1:20">
      <c r="A170">
        <v>141</v>
      </c>
      <c r="B170">
        <v>153</v>
      </c>
      <c r="C170">
        <v>1</v>
      </c>
      <c r="D170" s="2" t="s">
        <v>509</v>
      </c>
      <c r="E170" s="2" t="s">
        <v>505</v>
      </c>
      <c r="F170">
        <v>1</v>
      </c>
      <c r="G170" s="2" t="s">
        <v>257</v>
      </c>
      <c r="H170">
        <v>53900</v>
      </c>
      <c r="I170">
        <v>37700</v>
      </c>
      <c r="J170">
        <v>0</v>
      </c>
      <c r="P170" s="2" t="s">
        <v>204</v>
      </c>
      <c r="Q170">
        <v>1</v>
      </c>
      <c r="R170">
        <v>1</v>
      </c>
    </row>
    <row r="171" spans="1:20">
      <c r="A171">
        <v>141</v>
      </c>
      <c r="B171">
        <v>154</v>
      </c>
      <c r="C171">
        <v>1</v>
      </c>
      <c r="D171" s="2" t="s">
        <v>510</v>
      </c>
      <c r="E171" s="2" t="s">
        <v>511</v>
      </c>
      <c r="F171">
        <v>1</v>
      </c>
      <c r="G171" s="2" t="s">
        <v>219</v>
      </c>
      <c r="H171">
        <v>53100</v>
      </c>
      <c r="I171">
        <v>37100</v>
      </c>
      <c r="J171">
        <v>0</v>
      </c>
      <c r="P171" s="2" t="s">
        <v>204</v>
      </c>
      <c r="Q171">
        <v>1</v>
      </c>
      <c r="R171">
        <v>1</v>
      </c>
    </row>
    <row r="172" spans="1:20">
      <c r="A172">
        <v>141</v>
      </c>
      <c r="B172">
        <v>155</v>
      </c>
      <c r="C172">
        <v>1</v>
      </c>
      <c r="D172" s="2" t="s">
        <v>512</v>
      </c>
      <c r="E172" s="2" t="s">
        <v>513</v>
      </c>
      <c r="F172">
        <v>1</v>
      </c>
      <c r="G172" s="2" t="s">
        <v>219</v>
      </c>
      <c r="H172">
        <v>119800</v>
      </c>
      <c r="I172">
        <v>83820</v>
      </c>
      <c r="J172">
        <v>0</v>
      </c>
      <c r="P172" s="2" t="s">
        <v>204</v>
      </c>
      <c r="Q172">
        <v>1</v>
      </c>
      <c r="R172">
        <v>1</v>
      </c>
    </row>
    <row r="173" spans="1:20">
      <c r="A173">
        <v>141</v>
      </c>
      <c r="B173">
        <v>156</v>
      </c>
      <c r="C173">
        <v>1</v>
      </c>
      <c r="D173" s="2" t="s">
        <v>514</v>
      </c>
      <c r="E173" s="2" t="s">
        <v>515</v>
      </c>
      <c r="F173">
        <v>2</v>
      </c>
      <c r="G173" s="2" t="s">
        <v>291</v>
      </c>
      <c r="H173">
        <v>38000</v>
      </c>
      <c r="I173">
        <v>26600</v>
      </c>
      <c r="J173">
        <v>0</v>
      </c>
      <c r="P173" s="2" t="s">
        <v>204</v>
      </c>
      <c r="Q173">
        <v>1</v>
      </c>
      <c r="R173">
        <v>1</v>
      </c>
    </row>
    <row r="174" spans="1:20">
      <c r="A174">
        <v>141</v>
      </c>
      <c r="B174">
        <v>157</v>
      </c>
      <c r="C174">
        <v>1</v>
      </c>
      <c r="D174" s="2" t="s">
        <v>516</v>
      </c>
      <c r="E174" s="2" t="s">
        <v>515</v>
      </c>
      <c r="F174">
        <v>2</v>
      </c>
      <c r="G174" s="2" t="s">
        <v>291</v>
      </c>
      <c r="H174">
        <v>22500</v>
      </c>
      <c r="I174">
        <v>15700</v>
      </c>
      <c r="J174">
        <v>0</v>
      </c>
      <c r="P174" s="2" t="s">
        <v>204</v>
      </c>
      <c r="Q174">
        <v>1</v>
      </c>
      <c r="R174">
        <v>1</v>
      </c>
    </row>
    <row r="175" spans="1:20">
      <c r="A175">
        <v>158</v>
      </c>
      <c r="B175">
        <v>159</v>
      </c>
      <c r="C175">
        <v>1</v>
      </c>
      <c r="D175" s="2" t="s">
        <v>518</v>
      </c>
      <c r="E175" s="2" t="s">
        <v>519</v>
      </c>
      <c r="F175">
        <v>39.630000000000003</v>
      </c>
      <c r="G175" s="2" t="s">
        <v>203</v>
      </c>
      <c r="H175">
        <v>4900</v>
      </c>
      <c r="I175">
        <v>3400</v>
      </c>
      <c r="J175">
        <v>0</v>
      </c>
      <c r="O175" s="2" t="s">
        <v>520</v>
      </c>
      <c r="P175" s="2" t="s">
        <v>167</v>
      </c>
      <c r="Q175">
        <v>1</v>
      </c>
      <c r="R175">
        <v>39.631</v>
      </c>
      <c r="S175" s="2" t="s">
        <v>521</v>
      </c>
      <c r="T175" s="2" t="s">
        <v>522</v>
      </c>
    </row>
    <row r="176" spans="1:20">
      <c r="A176">
        <v>158</v>
      </c>
      <c r="B176">
        <v>160</v>
      </c>
      <c r="C176">
        <v>1</v>
      </c>
      <c r="D176" s="2" t="s">
        <v>523</v>
      </c>
      <c r="E176" s="2" t="s">
        <v>524</v>
      </c>
      <c r="F176">
        <v>55.61</v>
      </c>
      <c r="G176" s="2" t="s">
        <v>203</v>
      </c>
      <c r="H176">
        <v>4300</v>
      </c>
      <c r="I176">
        <v>3000</v>
      </c>
      <c r="J176">
        <v>0</v>
      </c>
      <c r="K176" s="2" t="s">
        <v>232</v>
      </c>
      <c r="O176" s="2" t="s">
        <v>525</v>
      </c>
      <c r="P176" s="2" t="s">
        <v>167</v>
      </c>
      <c r="Q176">
        <v>1</v>
      </c>
      <c r="R176">
        <v>55.610999999999997</v>
      </c>
      <c r="S176" s="2" t="s">
        <v>526</v>
      </c>
      <c r="T176" s="2" t="s">
        <v>527</v>
      </c>
    </row>
    <row r="177" spans="1:20">
      <c r="A177">
        <v>158</v>
      </c>
      <c r="B177">
        <v>161</v>
      </c>
      <c r="C177">
        <v>1</v>
      </c>
      <c r="D177" s="2" t="s">
        <v>528</v>
      </c>
      <c r="F177">
        <v>193.53</v>
      </c>
      <c r="G177" s="2" t="s">
        <v>176</v>
      </c>
      <c r="H177">
        <v>360</v>
      </c>
      <c r="I177">
        <v>250</v>
      </c>
      <c r="J177">
        <v>0</v>
      </c>
      <c r="P177" s="2" t="s">
        <v>167</v>
      </c>
      <c r="Q177">
        <v>1</v>
      </c>
      <c r="R177">
        <v>193.52950000000001</v>
      </c>
      <c r="S177" s="2" t="s">
        <v>529</v>
      </c>
      <c r="T177" s="2" t="s">
        <v>530</v>
      </c>
    </row>
    <row r="178" spans="1:20">
      <c r="A178">
        <v>158</v>
      </c>
      <c r="B178">
        <v>162</v>
      </c>
      <c r="C178">
        <v>1</v>
      </c>
      <c r="D178" s="2" t="s">
        <v>531</v>
      </c>
      <c r="E178" s="2" t="s">
        <v>532</v>
      </c>
      <c r="F178">
        <v>193.53</v>
      </c>
      <c r="G178" s="2" t="s">
        <v>176</v>
      </c>
      <c r="H178">
        <v>7500</v>
      </c>
      <c r="I178">
        <v>5200</v>
      </c>
      <c r="J178">
        <v>0</v>
      </c>
      <c r="O178" s="2" t="s">
        <v>533</v>
      </c>
      <c r="P178" s="2" t="s">
        <v>534</v>
      </c>
      <c r="Q178">
        <v>1</v>
      </c>
      <c r="R178">
        <v>193.52950000000001</v>
      </c>
    </row>
    <row r="179" spans="1:20">
      <c r="A179">
        <v>158</v>
      </c>
      <c r="B179">
        <v>163</v>
      </c>
      <c r="C179">
        <v>1</v>
      </c>
      <c r="D179" s="2" t="s">
        <v>535</v>
      </c>
      <c r="E179" s="2" t="s">
        <v>536</v>
      </c>
      <c r="F179">
        <v>31.01</v>
      </c>
      <c r="G179" s="2" t="s">
        <v>176</v>
      </c>
      <c r="H179">
        <v>3600</v>
      </c>
      <c r="I179">
        <v>2500</v>
      </c>
      <c r="J179">
        <v>0</v>
      </c>
      <c r="P179" s="2" t="s">
        <v>167</v>
      </c>
      <c r="Q179">
        <v>1</v>
      </c>
      <c r="R179">
        <v>28.927199999999999</v>
      </c>
      <c r="S179" s="2" t="s">
        <v>537</v>
      </c>
      <c r="T179" s="2" t="s">
        <v>538</v>
      </c>
    </row>
    <row r="180" spans="1:20">
      <c r="A180">
        <v>158</v>
      </c>
      <c r="B180">
        <v>164</v>
      </c>
      <c r="C180">
        <v>1</v>
      </c>
      <c r="D180" s="2" t="s">
        <v>539</v>
      </c>
      <c r="E180" s="2" t="s">
        <v>540</v>
      </c>
      <c r="F180">
        <v>4.55</v>
      </c>
      <c r="G180" s="2" t="s">
        <v>203</v>
      </c>
      <c r="H180">
        <v>4800</v>
      </c>
      <c r="I180">
        <v>3350</v>
      </c>
      <c r="J180">
        <v>0</v>
      </c>
      <c r="K180" s="2" t="s">
        <v>232</v>
      </c>
      <c r="P180" s="2" t="s">
        <v>204</v>
      </c>
      <c r="Q180">
        <v>1</v>
      </c>
      <c r="R180">
        <v>4.55</v>
      </c>
    </row>
    <row r="181" spans="1:20">
      <c r="A181">
        <v>165</v>
      </c>
      <c r="B181">
        <v>166</v>
      </c>
      <c r="C181">
        <v>0</v>
      </c>
      <c r="D181" s="2" t="s">
        <v>542</v>
      </c>
      <c r="F181">
        <v>1</v>
      </c>
      <c r="G181" s="2" t="s">
        <v>163</v>
      </c>
      <c r="H181">
        <v>204156</v>
      </c>
      <c r="I181">
        <v>141780</v>
      </c>
      <c r="J181">
        <v>0</v>
      </c>
    </row>
    <row r="182" spans="1:20">
      <c r="A182">
        <v>165</v>
      </c>
      <c r="B182">
        <v>171</v>
      </c>
      <c r="C182">
        <v>1</v>
      </c>
      <c r="D182" s="2" t="s">
        <v>557</v>
      </c>
      <c r="E182" s="2" t="s">
        <v>558</v>
      </c>
      <c r="F182">
        <v>1</v>
      </c>
      <c r="G182" s="2" t="s">
        <v>163</v>
      </c>
      <c r="H182">
        <v>50000</v>
      </c>
      <c r="I182">
        <v>35000</v>
      </c>
      <c r="J182">
        <v>0</v>
      </c>
      <c r="P182" s="2" t="s">
        <v>167</v>
      </c>
      <c r="Q182">
        <v>1</v>
      </c>
      <c r="R182">
        <v>1</v>
      </c>
      <c r="S182" s="2" t="s">
        <v>170</v>
      </c>
      <c r="T182" s="2" t="s">
        <v>171</v>
      </c>
    </row>
    <row r="183" spans="1:20">
      <c r="A183">
        <v>166</v>
      </c>
      <c r="B183">
        <v>167</v>
      </c>
      <c r="C183">
        <v>1</v>
      </c>
      <c r="D183" s="2" t="s">
        <v>543</v>
      </c>
      <c r="E183" s="2" t="s">
        <v>544</v>
      </c>
      <c r="F183">
        <v>3</v>
      </c>
      <c r="G183" s="2" t="s">
        <v>438</v>
      </c>
      <c r="H183">
        <v>5800</v>
      </c>
      <c r="I183">
        <v>4000</v>
      </c>
      <c r="J183">
        <v>0</v>
      </c>
      <c r="P183" s="2" t="s">
        <v>167</v>
      </c>
      <c r="Q183">
        <v>1</v>
      </c>
      <c r="R183">
        <v>2.6471</v>
      </c>
      <c r="S183" s="2" t="s">
        <v>545</v>
      </c>
      <c r="T183" s="2" t="s">
        <v>546</v>
      </c>
    </row>
    <row r="184" spans="1:20">
      <c r="A184">
        <v>166</v>
      </c>
      <c r="B184">
        <v>168</v>
      </c>
      <c r="C184">
        <v>1</v>
      </c>
      <c r="D184" s="2" t="s">
        <v>543</v>
      </c>
      <c r="E184" s="2" t="s">
        <v>547</v>
      </c>
      <c r="F184">
        <v>3</v>
      </c>
      <c r="G184" s="2" t="s">
        <v>438</v>
      </c>
      <c r="H184">
        <v>25000</v>
      </c>
      <c r="I184">
        <v>17500</v>
      </c>
      <c r="J184">
        <v>0</v>
      </c>
      <c r="P184" s="2" t="s">
        <v>167</v>
      </c>
      <c r="Q184">
        <v>1</v>
      </c>
      <c r="R184">
        <v>2.0589</v>
      </c>
      <c r="S184" s="2" t="s">
        <v>548</v>
      </c>
      <c r="T184" s="2" t="s">
        <v>549</v>
      </c>
    </row>
    <row r="185" spans="1:20">
      <c r="A185">
        <v>166</v>
      </c>
      <c r="B185">
        <v>169</v>
      </c>
      <c r="C185">
        <v>1</v>
      </c>
      <c r="D185" s="2" t="s">
        <v>543</v>
      </c>
      <c r="E185" s="2" t="s">
        <v>550</v>
      </c>
      <c r="F185">
        <v>2</v>
      </c>
      <c r="G185" s="2" t="s">
        <v>438</v>
      </c>
      <c r="H185">
        <v>12900</v>
      </c>
      <c r="I185">
        <v>9000</v>
      </c>
      <c r="J185">
        <v>0</v>
      </c>
      <c r="P185" s="2" t="s">
        <v>167</v>
      </c>
      <c r="Q185">
        <v>1</v>
      </c>
      <c r="R185">
        <v>1.0294000000000001</v>
      </c>
      <c r="S185" s="2" t="s">
        <v>551</v>
      </c>
      <c r="T185" s="2" t="s">
        <v>552</v>
      </c>
    </row>
    <row r="186" spans="1:20">
      <c r="A186">
        <v>166</v>
      </c>
      <c r="B186">
        <v>170</v>
      </c>
      <c r="C186">
        <v>1</v>
      </c>
      <c r="D186" s="2" t="s">
        <v>553</v>
      </c>
      <c r="E186" s="2" t="s">
        <v>554</v>
      </c>
      <c r="F186">
        <v>14.82</v>
      </c>
      <c r="G186" s="2" t="s">
        <v>176</v>
      </c>
      <c r="H186">
        <v>5800</v>
      </c>
      <c r="I186">
        <v>4000</v>
      </c>
      <c r="J186">
        <v>0</v>
      </c>
      <c r="O186" s="2" t="s">
        <v>555</v>
      </c>
      <c r="P186" s="2" t="s">
        <v>556</v>
      </c>
      <c r="Q186">
        <v>1</v>
      </c>
      <c r="R186">
        <v>14.824</v>
      </c>
    </row>
    <row r="187" spans="1:20">
      <c r="A187">
        <v>172</v>
      </c>
      <c r="B187">
        <v>173</v>
      </c>
      <c r="C187">
        <v>1</v>
      </c>
      <c r="D187" s="2" t="s">
        <v>560</v>
      </c>
      <c r="E187" s="2" t="s">
        <v>561</v>
      </c>
      <c r="F187">
        <v>11.58</v>
      </c>
      <c r="G187" s="2" t="s">
        <v>176</v>
      </c>
      <c r="H187">
        <v>22000</v>
      </c>
      <c r="I187">
        <v>15360</v>
      </c>
      <c r="J187">
        <v>0</v>
      </c>
      <c r="K187" s="2" t="s">
        <v>562</v>
      </c>
      <c r="P187" s="2" t="s">
        <v>167</v>
      </c>
      <c r="Q187">
        <v>1</v>
      </c>
      <c r="R187">
        <v>11.5921</v>
      </c>
      <c r="S187" s="2" t="s">
        <v>563</v>
      </c>
      <c r="T187" s="2" t="s">
        <v>564</v>
      </c>
    </row>
    <row r="188" spans="1:20">
      <c r="A188">
        <v>174</v>
      </c>
      <c r="B188">
        <v>175</v>
      </c>
      <c r="C188">
        <v>1</v>
      </c>
      <c r="D188" s="2" t="s">
        <v>566</v>
      </c>
      <c r="E188" s="2" t="s">
        <v>567</v>
      </c>
      <c r="F188">
        <v>1</v>
      </c>
      <c r="G188" s="2" t="s">
        <v>163</v>
      </c>
      <c r="H188">
        <v>42900</v>
      </c>
      <c r="I188">
        <v>30000</v>
      </c>
      <c r="J188">
        <v>0</v>
      </c>
      <c r="P188" s="2" t="s">
        <v>167</v>
      </c>
      <c r="Q188">
        <v>1</v>
      </c>
      <c r="R188">
        <v>0</v>
      </c>
    </row>
    <row r="189" spans="1:20">
      <c r="A189">
        <v>176</v>
      </c>
      <c r="B189">
        <v>177</v>
      </c>
      <c r="C189">
        <v>1</v>
      </c>
      <c r="D189" s="2" t="s">
        <v>569</v>
      </c>
      <c r="E189" s="2" t="s">
        <v>570</v>
      </c>
      <c r="F189">
        <v>3</v>
      </c>
      <c r="G189" s="2" t="s">
        <v>291</v>
      </c>
      <c r="H189">
        <v>21500</v>
      </c>
      <c r="I189">
        <v>15000</v>
      </c>
      <c r="J189">
        <v>0</v>
      </c>
      <c r="P189" s="2" t="s">
        <v>167</v>
      </c>
      <c r="Q189">
        <v>1</v>
      </c>
      <c r="R189">
        <v>3</v>
      </c>
    </row>
    <row r="190" spans="1:20">
      <c r="A190">
        <v>176</v>
      </c>
      <c r="B190">
        <v>178</v>
      </c>
      <c r="C190">
        <v>1</v>
      </c>
      <c r="D190" s="2" t="s">
        <v>571</v>
      </c>
      <c r="E190" s="2" t="s">
        <v>572</v>
      </c>
      <c r="F190">
        <v>34.880000000000003</v>
      </c>
      <c r="G190" s="2" t="s">
        <v>213</v>
      </c>
      <c r="H190">
        <v>21200</v>
      </c>
      <c r="I190">
        <v>14800</v>
      </c>
      <c r="J190">
        <v>0</v>
      </c>
      <c r="P190" s="2" t="s">
        <v>167</v>
      </c>
      <c r="Q190">
        <v>1</v>
      </c>
      <c r="R190">
        <v>115.3</v>
      </c>
      <c r="S190" s="2" t="s">
        <v>379</v>
      </c>
      <c r="T190" s="2" t="s">
        <v>380</v>
      </c>
    </row>
    <row r="191" spans="1:20">
      <c r="A191">
        <v>176</v>
      </c>
      <c r="B191">
        <v>179</v>
      </c>
      <c r="C191">
        <v>1</v>
      </c>
      <c r="D191" s="2" t="s">
        <v>573</v>
      </c>
      <c r="E191" s="2" t="s">
        <v>401</v>
      </c>
      <c r="F191">
        <v>5.46</v>
      </c>
      <c r="G191" s="2" t="s">
        <v>203</v>
      </c>
      <c r="H191">
        <v>1500</v>
      </c>
      <c r="I191">
        <v>1000</v>
      </c>
      <c r="J191">
        <v>0</v>
      </c>
      <c r="P191" s="2" t="s">
        <v>167</v>
      </c>
      <c r="Q191">
        <v>1</v>
      </c>
      <c r="R191">
        <v>1</v>
      </c>
    </row>
    <row r="192" spans="1:20">
      <c r="A192">
        <v>176</v>
      </c>
      <c r="B192">
        <v>180</v>
      </c>
      <c r="C192">
        <v>1</v>
      </c>
      <c r="D192" s="2" t="s">
        <v>574</v>
      </c>
      <c r="F192">
        <v>1</v>
      </c>
      <c r="G192" s="2" t="s">
        <v>163</v>
      </c>
      <c r="H192">
        <v>84300</v>
      </c>
      <c r="I192">
        <v>59000</v>
      </c>
      <c r="J192">
        <v>0</v>
      </c>
      <c r="P192" s="2" t="s">
        <v>167</v>
      </c>
      <c r="Q192">
        <v>1</v>
      </c>
      <c r="R192">
        <v>1</v>
      </c>
    </row>
    <row r="193" spans="1:20">
      <c r="A193">
        <v>181</v>
      </c>
      <c r="B193">
        <v>182</v>
      </c>
      <c r="C193">
        <v>1</v>
      </c>
      <c r="D193" s="2" t="s">
        <v>576</v>
      </c>
      <c r="E193" s="2" t="s">
        <v>577</v>
      </c>
      <c r="F193">
        <v>1</v>
      </c>
      <c r="G193" s="2" t="s">
        <v>257</v>
      </c>
      <c r="H193">
        <v>514300</v>
      </c>
      <c r="I193">
        <v>360000</v>
      </c>
      <c r="J193">
        <v>0</v>
      </c>
      <c r="P193" s="2" t="s">
        <v>204</v>
      </c>
      <c r="Q193">
        <v>1</v>
      </c>
      <c r="R193">
        <v>1</v>
      </c>
    </row>
    <row r="194" spans="1:20">
      <c r="A194">
        <v>181</v>
      </c>
      <c r="B194">
        <v>183</v>
      </c>
      <c r="C194">
        <v>1</v>
      </c>
      <c r="D194" s="2" t="s">
        <v>578</v>
      </c>
      <c r="E194" s="2" t="s">
        <v>579</v>
      </c>
      <c r="F194">
        <v>1</v>
      </c>
      <c r="G194" s="2" t="s">
        <v>219</v>
      </c>
      <c r="H194">
        <v>250000</v>
      </c>
      <c r="I194">
        <v>175000</v>
      </c>
      <c r="J194">
        <v>0</v>
      </c>
      <c r="P194" s="2" t="s">
        <v>204</v>
      </c>
      <c r="Q194">
        <v>1</v>
      </c>
      <c r="R194">
        <v>1</v>
      </c>
    </row>
    <row r="195" spans="1:20">
      <c r="A195">
        <v>181</v>
      </c>
      <c r="B195">
        <v>184</v>
      </c>
      <c r="C195">
        <v>1</v>
      </c>
      <c r="D195" s="2" t="s">
        <v>580</v>
      </c>
      <c r="E195" s="2" t="s">
        <v>581</v>
      </c>
      <c r="F195">
        <v>1</v>
      </c>
      <c r="G195" s="2" t="s">
        <v>257</v>
      </c>
      <c r="H195">
        <v>56500</v>
      </c>
      <c r="I195">
        <v>39500</v>
      </c>
      <c r="J195">
        <v>0</v>
      </c>
      <c r="P195" s="2" t="s">
        <v>204</v>
      </c>
      <c r="Q195">
        <v>1</v>
      </c>
      <c r="R195">
        <v>1</v>
      </c>
    </row>
    <row r="196" spans="1:20">
      <c r="A196">
        <v>181</v>
      </c>
      <c r="B196">
        <v>185</v>
      </c>
      <c r="C196">
        <v>1</v>
      </c>
      <c r="D196" s="2" t="s">
        <v>582</v>
      </c>
      <c r="E196" s="2" t="s">
        <v>583</v>
      </c>
      <c r="F196">
        <v>1</v>
      </c>
      <c r="G196" s="2" t="s">
        <v>257</v>
      </c>
      <c r="H196">
        <v>371500</v>
      </c>
      <c r="I196">
        <v>260000</v>
      </c>
      <c r="J196">
        <v>0</v>
      </c>
      <c r="P196" s="2" t="s">
        <v>204</v>
      </c>
      <c r="Q196">
        <v>1</v>
      </c>
      <c r="R196">
        <v>1</v>
      </c>
    </row>
    <row r="197" spans="1:20">
      <c r="A197">
        <v>181</v>
      </c>
      <c r="B197">
        <v>186</v>
      </c>
      <c r="C197">
        <v>1</v>
      </c>
      <c r="D197" s="2" t="s">
        <v>584</v>
      </c>
      <c r="E197" s="2" t="s">
        <v>585</v>
      </c>
      <c r="F197">
        <v>1</v>
      </c>
      <c r="G197" s="2" t="s">
        <v>257</v>
      </c>
      <c r="H197">
        <v>90300</v>
      </c>
      <c r="I197">
        <v>63150</v>
      </c>
      <c r="J197">
        <v>0</v>
      </c>
      <c r="P197" s="2" t="s">
        <v>167</v>
      </c>
      <c r="Q197">
        <v>1</v>
      </c>
      <c r="R197">
        <v>2</v>
      </c>
      <c r="S197" s="2" t="s">
        <v>586</v>
      </c>
      <c r="T197" s="2" t="s">
        <v>587</v>
      </c>
    </row>
    <row r="198" spans="1:20">
      <c r="A198">
        <v>181</v>
      </c>
      <c r="B198">
        <v>187</v>
      </c>
      <c r="C198">
        <v>1</v>
      </c>
      <c r="D198" s="2" t="s">
        <v>588</v>
      </c>
      <c r="E198" s="2" t="s">
        <v>589</v>
      </c>
      <c r="F198">
        <v>1</v>
      </c>
      <c r="G198" s="2" t="s">
        <v>257</v>
      </c>
      <c r="H198">
        <v>300000</v>
      </c>
      <c r="I198">
        <v>210000</v>
      </c>
      <c r="J198">
        <v>0</v>
      </c>
      <c r="P198" s="2" t="s">
        <v>204</v>
      </c>
      <c r="Q198">
        <v>1</v>
      </c>
      <c r="R198">
        <v>1</v>
      </c>
    </row>
    <row r="199" spans="1:20">
      <c r="A199">
        <v>181</v>
      </c>
      <c r="B199">
        <v>188</v>
      </c>
      <c r="C199">
        <v>1</v>
      </c>
      <c r="D199" s="2" t="s">
        <v>590</v>
      </c>
      <c r="E199" s="2" t="s">
        <v>591</v>
      </c>
      <c r="F199">
        <v>3</v>
      </c>
      <c r="G199" s="2" t="s">
        <v>219</v>
      </c>
      <c r="H199">
        <v>7200</v>
      </c>
      <c r="I199">
        <v>5000</v>
      </c>
      <c r="J199">
        <v>0</v>
      </c>
      <c r="O199" s="2" t="s">
        <v>592</v>
      </c>
      <c r="P199" s="2" t="s">
        <v>167</v>
      </c>
      <c r="Q199">
        <v>1</v>
      </c>
      <c r="R199">
        <v>2</v>
      </c>
      <c r="S199" s="2" t="s">
        <v>593</v>
      </c>
      <c r="T199" s="2" t="s">
        <v>594</v>
      </c>
    </row>
    <row r="200" spans="1:20">
      <c r="A200">
        <v>181</v>
      </c>
      <c r="B200">
        <v>189</v>
      </c>
      <c r="C200">
        <v>1</v>
      </c>
      <c r="D200" s="2" t="s">
        <v>595</v>
      </c>
      <c r="E200" s="2" t="s">
        <v>591</v>
      </c>
      <c r="F200">
        <v>2</v>
      </c>
      <c r="G200" s="2" t="s">
        <v>219</v>
      </c>
      <c r="H200">
        <v>4300</v>
      </c>
      <c r="I200">
        <v>3000</v>
      </c>
      <c r="J200">
        <v>0</v>
      </c>
      <c r="O200" s="2" t="s">
        <v>592</v>
      </c>
      <c r="P200" s="2" t="s">
        <v>167</v>
      </c>
      <c r="Q200">
        <v>1</v>
      </c>
      <c r="R200">
        <v>2</v>
      </c>
      <c r="S200" s="2" t="s">
        <v>593</v>
      </c>
      <c r="T200" s="2" t="s">
        <v>594</v>
      </c>
    </row>
    <row r="201" spans="1:20">
      <c r="A201">
        <v>181</v>
      </c>
      <c r="B201">
        <v>190</v>
      </c>
      <c r="C201">
        <v>1</v>
      </c>
      <c r="D201" s="2" t="s">
        <v>596</v>
      </c>
      <c r="E201" s="2" t="s">
        <v>597</v>
      </c>
      <c r="F201">
        <v>1</v>
      </c>
      <c r="G201" s="2" t="s">
        <v>257</v>
      </c>
      <c r="H201">
        <v>14500</v>
      </c>
      <c r="I201">
        <v>10100</v>
      </c>
      <c r="J201">
        <v>0</v>
      </c>
      <c r="P201" s="2" t="s">
        <v>204</v>
      </c>
      <c r="Q201">
        <v>1</v>
      </c>
      <c r="R201">
        <v>1</v>
      </c>
    </row>
    <row r="202" spans="1:20">
      <c r="A202">
        <v>181</v>
      </c>
      <c r="B202">
        <v>191</v>
      </c>
      <c r="C202">
        <v>1</v>
      </c>
      <c r="D202" s="2" t="s">
        <v>598</v>
      </c>
      <c r="E202" s="2" t="s">
        <v>599</v>
      </c>
      <c r="F202">
        <v>1</v>
      </c>
      <c r="G202" s="2" t="s">
        <v>257</v>
      </c>
      <c r="H202">
        <v>564600</v>
      </c>
      <c r="I202">
        <v>395200</v>
      </c>
      <c r="J202">
        <v>0</v>
      </c>
      <c r="P202" s="2" t="s">
        <v>204</v>
      </c>
      <c r="Q202">
        <v>1</v>
      </c>
      <c r="R202">
        <v>1</v>
      </c>
    </row>
    <row r="203" spans="1:20">
      <c r="A203">
        <v>181</v>
      </c>
      <c r="B203">
        <v>192</v>
      </c>
      <c r="C203">
        <v>1</v>
      </c>
      <c r="D203" s="2" t="s">
        <v>600</v>
      </c>
      <c r="E203" s="2" t="s">
        <v>601</v>
      </c>
      <c r="F203">
        <v>1</v>
      </c>
      <c r="G203" s="2" t="s">
        <v>219</v>
      </c>
      <c r="H203">
        <v>148600</v>
      </c>
      <c r="I203">
        <v>104000</v>
      </c>
      <c r="J203">
        <v>0</v>
      </c>
      <c r="P203" s="2" t="s">
        <v>204</v>
      </c>
      <c r="Q203">
        <v>1</v>
      </c>
      <c r="R203">
        <v>1</v>
      </c>
    </row>
    <row r="204" spans="1:20">
      <c r="A204">
        <v>193</v>
      </c>
      <c r="B204">
        <v>194</v>
      </c>
      <c r="C204">
        <v>1</v>
      </c>
      <c r="D204" s="2" t="s">
        <v>603</v>
      </c>
      <c r="E204" s="2" t="s">
        <v>604</v>
      </c>
      <c r="F204">
        <v>1</v>
      </c>
      <c r="G204" s="2" t="s">
        <v>163</v>
      </c>
      <c r="H204">
        <v>242900</v>
      </c>
      <c r="I204">
        <v>170000</v>
      </c>
      <c r="J204">
        <v>0</v>
      </c>
      <c r="P204" s="2" t="s">
        <v>167</v>
      </c>
      <c r="Q204">
        <v>1</v>
      </c>
      <c r="R204">
        <v>1</v>
      </c>
    </row>
    <row r="205" spans="1:20">
      <c r="A205">
        <v>195</v>
      </c>
      <c r="B205">
        <v>196</v>
      </c>
      <c r="C205">
        <v>1</v>
      </c>
      <c r="D205" s="2" t="s">
        <v>606</v>
      </c>
      <c r="F205">
        <v>1</v>
      </c>
      <c r="G205" s="2" t="s">
        <v>163</v>
      </c>
      <c r="H205">
        <v>64300</v>
      </c>
      <c r="I205">
        <v>45000</v>
      </c>
      <c r="J205">
        <v>0</v>
      </c>
      <c r="P205" s="2" t="s">
        <v>167</v>
      </c>
      <c r="Q205">
        <v>1</v>
      </c>
      <c r="R205">
        <v>1</v>
      </c>
    </row>
    <row r="206" spans="1:20">
      <c r="A206">
        <v>195</v>
      </c>
      <c r="B206">
        <v>197</v>
      </c>
      <c r="C206">
        <v>1</v>
      </c>
      <c r="D206" s="2" t="s">
        <v>607</v>
      </c>
      <c r="E206" s="2" t="s">
        <v>608</v>
      </c>
      <c r="F206">
        <v>17</v>
      </c>
      <c r="G206" s="2" t="s">
        <v>219</v>
      </c>
      <c r="H206">
        <v>3200</v>
      </c>
      <c r="I206">
        <v>2200</v>
      </c>
      <c r="J206">
        <v>0</v>
      </c>
      <c r="P206" s="2" t="s">
        <v>167</v>
      </c>
      <c r="Q206">
        <v>1</v>
      </c>
      <c r="R206">
        <v>17</v>
      </c>
      <c r="S206" s="2" t="s">
        <v>609</v>
      </c>
      <c r="T206" s="2" t="s">
        <v>610</v>
      </c>
    </row>
    <row r="207" spans="1:20">
      <c r="A207">
        <v>195</v>
      </c>
      <c r="B207">
        <v>198</v>
      </c>
      <c r="C207">
        <v>1</v>
      </c>
      <c r="D207" s="2" t="s">
        <v>611</v>
      </c>
      <c r="E207" s="2" t="s">
        <v>608</v>
      </c>
      <c r="F207">
        <v>12</v>
      </c>
      <c r="G207" s="2" t="s">
        <v>219</v>
      </c>
      <c r="H207">
        <v>3600</v>
      </c>
      <c r="I207">
        <v>2500</v>
      </c>
      <c r="J207">
        <v>0</v>
      </c>
      <c r="P207" s="2" t="s">
        <v>167</v>
      </c>
      <c r="Q207">
        <v>1</v>
      </c>
      <c r="R207">
        <v>12</v>
      </c>
      <c r="S207" s="2" t="s">
        <v>612</v>
      </c>
      <c r="T207" s="2" t="s">
        <v>613</v>
      </c>
    </row>
    <row r="208" spans="1:20">
      <c r="A208">
        <v>195</v>
      </c>
      <c r="B208">
        <v>199</v>
      </c>
      <c r="C208">
        <v>1</v>
      </c>
      <c r="D208" s="2" t="s">
        <v>614</v>
      </c>
      <c r="F208">
        <v>38</v>
      </c>
      <c r="G208" s="2" t="s">
        <v>219</v>
      </c>
      <c r="H208">
        <v>3200</v>
      </c>
      <c r="I208">
        <v>2200</v>
      </c>
      <c r="J208">
        <v>0</v>
      </c>
      <c r="P208" s="2" t="s">
        <v>167</v>
      </c>
      <c r="Q208">
        <v>1</v>
      </c>
      <c r="R208">
        <v>38</v>
      </c>
      <c r="S208" s="2" t="s">
        <v>615</v>
      </c>
      <c r="T208" s="2" t="s">
        <v>616</v>
      </c>
    </row>
    <row r="209" spans="1:20">
      <c r="A209">
        <v>195</v>
      </c>
      <c r="B209">
        <v>200</v>
      </c>
      <c r="C209">
        <v>1</v>
      </c>
      <c r="D209" s="2" t="s">
        <v>617</v>
      </c>
      <c r="E209" s="2" t="s">
        <v>618</v>
      </c>
      <c r="F209">
        <v>22</v>
      </c>
      <c r="G209" s="2" t="s">
        <v>219</v>
      </c>
      <c r="H209">
        <v>3200</v>
      </c>
      <c r="I209">
        <v>2200</v>
      </c>
      <c r="J209">
        <v>0</v>
      </c>
      <c r="P209" s="2" t="s">
        <v>167</v>
      </c>
      <c r="Q209">
        <v>1</v>
      </c>
      <c r="R209">
        <v>22</v>
      </c>
      <c r="S209" s="2" t="s">
        <v>619</v>
      </c>
      <c r="T209" s="2" t="s">
        <v>620</v>
      </c>
    </row>
    <row r="210" spans="1:20">
      <c r="A210">
        <v>195</v>
      </c>
      <c r="B210">
        <v>201</v>
      </c>
      <c r="C210">
        <v>1</v>
      </c>
      <c r="D210" s="2" t="s">
        <v>621</v>
      </c>
      <c r="E210" s="2" t="s">
        <v>622</v>
      </c>
      <c r="F210">
        <v>6</v>
      </c>
      <c r="G210" s="2" t="s">
        <v>219</v>
      </c>
      <c r="H210">
        <v>6500</v>
      </c>
      <c r="I210">
        <v>4500</v>
      </c>
      <c r="J210">
        <v>0</v>
      </c>
      <c r="P210" s="2" t="s">
        <v>167</v>
      </c>
      <c r="Q210">
        <v>1</v>
      </c>
      <c r="R210">
        <v>6</v>
      </c>
      <c r="S210" s="2" t="s">
        <v>623</v>
      </c>
      <c r="T210" s="2" t="s">
        <v>624</v>
      </c>
    </row>
    <row r="211" spans="1:20">
      <c r="A211">
        <v>195</v>
      </c>
      <c r="B211">
        <v>202</v>
      </c>
      <c r="C211">
        <v>1</v>
      </c>
      <c r="D211" s="2" t="s">
        <v>625</v>
      </c>
      <c r="E211" s="2" t="s">
        <v>626</v>
      </c>
      <c r="F211">
        <v>2</v>
      </c>
      <c r="G211" s="2" t="s">
        <v>219</v>
      </c>
      <c r="H211">
        <v>9300</v>
      </c>
      <c r="I211">
        <v>6500</v>
      </c>
      <c r="J211">
        <v>0</v>
      </c>
      <c r="P211" s="2" t="s">
        <v>167</v>
      </c>
      <c r="Q211">
        <v>1</v>
      </c>
      <c r="R211">
        <v>2</v>
      </c>
      <c r="S211" s="2" t="s">
        <v>627</v>
      </c>
      <c r="T211" s="2" t="s">
        <v>628</v>
      </c>
    </row>
    <row r="212" spans="1:20">
      <c r="A212">
        <v>195</v>
      </c>
      <c r="B212">
        <v>203</v>
      </c>
      <c r="C212">
        <v>1</v>
      </c>
      <c r="D212" s="2" t="s">
        <v>629</v>
      </c>
      <c r="E212" s="2" t="s">
        <v>630</v>
      </c>
      <c r="F212">
        <v>1</v>
      </c>
      <c r="G212" s="2" t="s">
        <v>219</v>
      </c>
      <c r="H212">
        <v>6500</v>
      </c>
      <c r="I212">
        <v>4500</v>
      </c>
      <c r="J212">
        <v>0</v>
      </c>
      <c r="P212" s="2" t="s">
        <v>167</v>
      </c>
      <c r="Q212">
        <v>1</v>
      </c>
      <c r="R212">
        <v>1</v>
      </c>
      <c r="S212" s="2" t="s">
        <v>631</v>
      </c>
      <c r="T212" s="2" t="s">
        <v>632</v>
      </c>
    </row>
    <row r="213" spans="1:20">
      <c r="A213">
        <v>195</v>
      </c>
      <c r="B213">
        <v>204</v>
      </c>
      <c r="C213">
        <v>1</v>
      </c>
      <c r="D213" s="2" t="s">
        <v>633</v>
      </c>
      <c r="F213">
        <v>6</v>
      </c>
      <c r="G213" s="2" t="s">
        <v>219</v>
      </c>
      <c r="H213">
        <v>9300</v>
      </c>
      <c r="I213">
        <v>6500</v>
      </c>
      <c r="J213">
        <v>0</v>
      </c>
      <c r="P213" s="2" t="s">
        <v>167</v>
      </c>
      <c r="Q213">
        <v>1</v>
      </c>
      <c r="R213">
        <v>6</v>
      </c>
      <c r="S213" s="2" t="s">
        <v>634</v>
      </c>
      <c r="T213" s="2" t="s">
        <v>267</v>
      </c>
    </row>
    <row r="214" spans="1:20">
      <c r="A214">
        <v>195</v>
      </c>
      <c r="B214">
        <v>205</v>
      </c>
      <c r="C214">
        <v>1</v>
      </c>
      <c r="D214" s="2" t="s">
        <v>635</v>
      </c>
      <c r="F214">
        <v>6</v>
      </c>
      <c r="G214" s="2" t="s">
        <v>219</v>
      </c>
      <c r="H214">
        <v>12200</v>
      </c>
      <c r="I214">
        <v>8500</v>
      </c>
      <c r="J214">
        <v>0</v>
      </c>
      <c r="P214" s="2" t="s">
        <v>167</v>
      </c>
      <c r="Q214">
        <v>1</v>
      </c>
      <c r="R214">
        <v>6</v>
      </c>
      <c r="S214" s="2" t="s">
        <v>634</v>
      </c>
      <c r="T214" s="2" t="s">
        <v>267</v>
      </c>
    </row>
    <row r="215" spans="1:20">
      <c r="A215">
        <v>195</v>
      </c>
      <c r="B215">
        <v>206</v>
      </c>
      <c r="C215">
        <v>1</v>
      </c>
      <c r="D215" s="2" t="s">
        <v>636</v>
      </c>
      <c r="E215" s="2" t="s">
        <v>637</v>
      </c>
      <c r="F215">
        <v>1</v>
      </c>
      <c r="G215" s="2" t="s">
        <v>219</v>
      </c>
      <c r="H215">
        <v>11500</v>
      </c>
      <c r="I215">
        <v>8000</v>
      </c>
      <c r="J215">
        <v>0</v>
      </c>
      <c r="P215" s="2" t="s">
        <v>167</v>
      </c>
      <c r="Q215">
        <v>1</v>
      </c>
      <c r="R215">
        <v>0</v>
      </c>
    </row>
    <row r="216" spans="1:20">
      <c r="A216">
        <v>195</v>
      </c>
      <c r="B216">
        <v>207</v>
      </c>
      <c r="C216">
        <v>1</v>
      </c>
      <c r="D216" s="2" t="s">
        <v>638</v>
      </c>
      <c r="F216">
        <v>2</v>
      </c>
      <c r="G216" s="2" t="s">
        <v>219</v>
      </c>
      <c r="H216">
        <v>7600</v>
      </c>
      <c r="I216">
        <v>5300</v>
      </c>
      <c r="J216">
        <v>0</v>
      </c>
      <c r="P216" s="2" t="s">
        <v>167</v>
      </c>
      <c r="Q216">
        <v>1</v>
      </c>
      <c r="R216">
        <v>2</v>
      </c>
    </row>
    <row r="217" spans="1:20">
      <c r="A217">
        <v>195</v>
      </c>
      <c r="B217">
        <v>208</v>
      </c>
      <c r="C217">
        <v>1</v>
      </c>
      <c r="D217" s="2" t="s">
        <v>639</v>
      </c>
      <c r="E217" s="2" t="s">
        <v>640</v>
      </c>
      <c r="F217">
        <v>1</v>
      </c>
      <c r="G217" s="2" t="s">
        <v>163</v>
      </c>
      <c r="H217">
        <v>7200</v>
      </c>
      <c r="I217">
        <v>5000</v>
      </c>
      <c r="J217">
        <v>0</v>
      </c>
      <c r="P217" s="2" t="s">
        <v>167</v>
      </c>
      <c r="Q217">
        <v>1</v>
      </c>
      <c r="R217">
        <v>1</v>
      </c>
    </row>
    <row r="218" spans="1:20">
      <c r="A218">
        <v>195</v>
      </c>
      <c r="B218">
        <v>209</v>
      </c>
      <c r="C218">
        <v>1</v>
      </c>
      <c r="D218" s="2" t="s">
        <v>641</v>
      </c>
      <c r="E218" s="2" t="s">
        <v>642</v>
      </c>
      <c r="F218">
        <v>1</v>
      </c>
      <c r="G218" s="2" t="s">
        <v>219</v>
      </c>
      <c r="H218">
        <v>10800</v>
      </c>
      <c r="I218">
        <v>7500</v>
      </c>
      <c r="J218">
        <v>0</v>
      </c>
      <c r="P218" s="2" t="s">
        <v>167</v>
      </c>
      <c r="Q218">
        <v>1</v>
      </c>
      <c r="R218">
        <v>1</v>
      </c>
    </row>
    <row r="219" spans="1:20">
      <c r="A219">
        <v>195</v>
      </c>
      <c r="B219">
        <v>210</v>
      </c>
      <c r="C219">
        <v>1</v>
      </c>
      <c r="D219" s="2" t="s">
        <v>643</v>
      </c>
      <c r="E219" s="2" t="s">
        <v>644</v>
      </c>
      <c r="F219">
        <v>7</v>
      </c>
      <c r="G219" s="2" t="s">
        <v>219</v>
      </c>
      <c r="H219">
        <v>10000</v>
      </c>
      <c r="I219">
        <v>7000</v>
      </c>
      <c r="J219">
        <v>0</v>
      </c>
      <c r="P219" s="2" t="s">
        <v>167</v>
      </c>
      <c r="Q219">
        <v>1</v>
      </c>
      <c r="R219">
        <v>7</v>
      </c>
      <c r="S219" s="2" t="s">
        <v>645</v>
      </c>
      <c r="T219" s="2" t="s">
        <v>646</v>
      </c>
    </row>
    <row r="220" spans="1:20">
      <c r="A220">
        <v>195</v>
      </c>
      <c r="B220">
        <v>211</v>
      </c>
      <c r="C220">
        <v>1</v>
      </c>
      <c r="D220" s="2" t="s">
        <v>643</v>
      </c>
      <c r="E220" s="2" t="s">
        <v>647</v>
      </c>
      <c r="F220">
        <v>7</v>
      </c>
      <c r="G220" s="2" t="s">
        <v>219</v>
      </c>
      <c r="H220">
        <v>1150</v>
      </c>
      <c r="I220">
        <v>800</v>
      </c>
      <c r="J220">
        <v>0</v>
      </c>
      <c r="P220" s="2" t="s">
        <v>167</v>
      </c>
      <c r="Q220">
        <v>1</v>
      </c>
      <c r="R220">
        <v>7</v>
      </c>
      <c r="S220" s="2" t="s">
        <v>645</v>
      </c>
      <c r="T220" s="2" t="s">
        <v>646</v>
      </c>
    </row>
    <row r="221" spans="1:20">
      <c r="A221">
        <v>195</v>
      </c>
      <c r="B221">
        <v>212</v>
      </c>
      <c r="C221">
        <v>1</v>
      </c>
      <c r="D221" s="2" t="s">
        <v>648</v>
      </c>
      <c r="E221" s="2" t="s">
        <v>649</v>
      </c>
      <c r="F221">
        <v>2</v>
      </c>
      <c r="G221" s="2" t="s">
        <v>219</v>
      </c>
      <c r="H221">
        <v>10000</v>
      </c>
      <c r="I221">
        <v>7000</v>
      </c>
      <c r="J221">
        <v>0</v>
      </c>
      <c r="P221" s="2" t="s">
        <v>167</v>
      </c>
      <c r="Q221">
        <v>1</v>
      </c>
      <c r="R221">
        <v>2</v>
      </c>
    </row>
    <row r="222" spans="1:20">
      <c r="A222">
        <v>195</v>
      </c>
      <c r="B222">
        <v>213</v>
      </c>
      <c r="C222">
        <v>1</v>
      </c>
      <c r="D222" s="2" t="s">
        <v>650</v>
      </c>
      <c r="F222">
        <v>1</v>
      </c>
      <c r="G222" s="2" t="s">
        <v>163</v>
      </c>
      <c r="H222">
        <v>50000</v>
      </c>
      <c r="I222">
        <v>35000</v>
      </c>
      <c r="J222">
        <v>0</v>
      </c>
      <c r="P222" s="2" t="s">
        <v>167</v>
      </c>
      <c r="Q222">
        <v>1</v>
      </c>
      <c r="R222">
        <v>1</v>
      </c>
    </row>
    <row r="223" spans="1:20">
      <c r="A223">
        <v>195</v>
      </c>
      <c r="B223">
        <v>214</v>
      </c>
      <c r="C223">
        <v>1</v>
      </c>
      <c r="D223" s="2" t="s">
        <v>651</v>
      </c>
      <c r="F223">
        <v>1</v>
      </c>
      <c r="G223" s="2" t="s">
        <v>163</v>
      </c>
      <c r="H223">
        <v>14300</v>
      </c>
      <c r="I223">
        <v>10000</v>
      </c>
      <c r="J223">
        <v>0</v>
      </c>
      <c r="P223" s="2" t="s">
        <v>167</v>
      </c>
      <c r="Q223">
        <v>1</v>
      </c>
      <c r="R223">
        <v>1</v>
      </c>
    </row>
    <row r="224" spans="1:20">
      <c r="A224">
        <v>195</v>
      </c>
      <c r="B224">
        <v>215</v>
      </c>
      <c r="C224">
        <v>1</v>
      </c>
      <c r="D224" s="2" t="s">
        <v>652</v>
      </c>
      <c r="E224" s="2" t="s">
        <v>653</v>
      </c>
      <c r="F224">
        <v>1</v>
      </c>
      <c r="G224" s="2" t="s">
        <v>257</v>
      </c>
      <c r="H224">
        <v>14800</v>
      </c>
      <c r="I224">
        <v>10300</v>
      </c>
      <c r="J224">
        <v>0</v>
      </c>
      <c r="P224" s="2" t="s">
        <v>167</v>
      </c>
      <c r="Q224">
        <v>1</v>
      </c>
      <c r="R224">
        <v>1</v>
      </c>
    </row>
    <row r="225" spans="1:20">
      <c r="A225">
        <v>195</v>
      </c>
      <c r="B225">
        <v>216</v>
      </c>
      <c r="C225">
        <v>1</v>
      </c>
      <c r="D225" s="2" t="s">
        <v>654</v>
      </c>
      <c r="F225">
        <v>1</v>
      </c>
      <c r="G225" s="2" t="s">
        <v>219</v>
      </c>
      <c r="H225">
        <v>4300</v>
      </c>
      <c r="I225">
        <v>3000</v>
      </c>
      <c r="J225">
        <v>0</v>
      </c>
      <c r="P225" s="2" t="s">
        <v>167</v>
      </c>
      <c r="Q225">
        <v>1</v>
      </c>
      <c r="R225">
        <v>1</v>
      </c>
    </row>
    <row r="226" spans="1:20">
      <c r="A226">
        <v>195</v>
      </c>
      <c r="B226">
        <v>217</v>
      </c>
      <c r="C226">
        <v>1</v>
      </c>
      <c r="D226" s="2" t="s">
        <v>655</v>
      </c>
      <c r="F226">
        <v>1</v>
      </c>
      <c r="G226" s="2" t="s">
        <v>163</v>
      </c>
      <c r="H226">
        <v>214300</v>
      </c>
      <c r="I226">
        <v>150000</v>
      </c>
      <c r="J226">
        <v>0</v>
      </c>
      <c r="O226" s="2" t="s">
        <v>386</v>
      </c>
      <c r="P226" s="2" t="s">
        <v>167</v>
      </c>
      <c r="Q226">
        <v>1</v>
      </c>
      <c r="R226">
        <v>1</v>
      </c>
    </row>
    <row r="227" spans="1:20">
      <c r="A227">
        <v>195</v>
      </c>
      <c r="B227">
        <v>218</v>
      </c>
      <c r="C227">
        <v>1</v>
      </c>
      <c r="D227" s="2" t="s">
        <v>656</v>
      </c>
      <c r="F227">
        <v>1</v>
      </c>
      <c r="G227" s="2" t="s">
        <v>163</v>
      </c>
      <c r="H227">
        <v>45800</v>
      </c>
      <c r="I227">
        <v>32000</v>
      </c>
      <c r="J227">
        <v>0</v>
      </c>
      <c r="P227" s="2" t="s">
        <v>167</v>
      </c>
      <c r="Q227">
        <v>1</v>
      </c>
      <c r="R227">
        <v>1</v>
      </c>
      <c r="S227" s="2" t="s">
        <v>657</v>
      </c>
      <c r="T227" s="2" t="s">
        <v>658</v>
      </c>
    </row>
    <row r="228" spans="1:20">
      <c r="A228">
        <v>195</v>
      </c>
      <c r="B228">
        <v>219</v>
      </c>
      <c r="C228">
        <v>1</v>
      </c>
      <c r="D228" s="2" t="s">
        <v>659</v>
      </c>
      <c r="E228" s="2" t="s">
        <v>660</v>
      </c>
      <c r="F228">
        <v>1</v>
      </c>
      <c r="G228" s="2" t="s">
        <v>163</v>
      </c>
      <c r="H228">
        <v>85800</v>
      </c>
      <c r="I228">
        <v>60000</v>
      </c>
      <c r="J228">
        <v>0</v>
      </c>
      <c r="P228" s="2" t="s">
        <v>167</v>
      </c>
      <c r="Q228">
        <v>1</v>
      </c>
      <c r="R228">
        <v>1</v>
      </c>
      <c r="S228" s="2" t="s">
        <v>661</v>
      </c>
      <c r="T228" s="2" t="s">
        <v>658</v>
      </c>
    </row>
    <row r="229" spans="1:20">
      <c r="A229">
        <v>195</v>
      </c>
      <c r="B229">
        <v>220</v>
      </c>
      <c r="C229">
        <v>1</v>
      </c>
      <c r="D229" s="2" t="s">
        <v>662</v>
      </c>
      <c r="E229" s="2" t="s">
        <v>663</v>
      </c>
      <c r="F229">
        <v>1</v>
      </c>
      <c r="G229" s="2" t="s">
        <v>200</v>
      </c>
      <c r="H229">
        <v>58000</v>
      </c>
      <c r="I229">
        <v>40560</v>
      </c>
      <c r="J229">
        <v>0</v>
      </c>
      <c r="P229" s="2" t="s">
        <v>167</v>
      </c>
      <c r="Q229">
        <v>1</v>
      </c>
      <c r="R229">
        <v>0</v>
      </c>
      <c r="S229" s="2" t="s">
        <v>661</v>
      </c>
      <c r="T229" s="2" t="s">
        <v>658</v>
      </c>
    </row>
    <row r="230" spans="1:20">
      <c r="A230">
        <v>195</v>
      </c>
      <c r="B230">
        <v>221</v>
      </c>
      <c r="C230">
        <v>1</v>
      </c>
      <c r="D230" s="2" t="s">
        <v>664</v>
      </c>
      <c r="F230">
        <v>1</v>
      </c>
      <c r="G230" s="2" t="s">
        <v>163</v>
      </c>
      <c r="H230">
        <v>38000</v>
      </c>
      <c r="I230">
        <v>26600</v>
      </c>
      <c r="J230">
        <v>0</v>
      </c>
      <c r="P230" s="2" t="s">
        <v>167</v>
      </c>
      <c r="Q230">
        <v>1</v>
      </c>
      <c r="R230">
        <v>1</v>
      </c>
      <c r="S230" s="2" t="s">
        <v>661</v>
      </c>
      <c r="T230" s="2" t="s">
        <v>658</v>
      </c>
    </row>
    <row r="231" spans="1:20">
      <c r="A231">
        <v>195</v>
      </c>
      <c r="B231">
        <v>222</v>
      </c>
      <c r="C231">
        <v>1</v>
      </c>
      <c r="D231" s="2" t="s">
        <v>665</v>
      </c>
      <c r="F231">
        <v>1</v>
      </c>
      <c r="G231" s="2" t="s">
        <v>163</v>
      </c>
      <c r="H231">
        <v>28600</v>
      </c>
      <c r="I231">
        <v>20000</v>
      </c>
      <c r="J231">
        <v>0</v>
      </c>
      <c r="O231" s="2" t="s">
        <v>386</v>
      </c>
      <c r="P231" s="2" t="s">
        <v>167</v>
      </c>
      <c r="Q231">
        <v>1</v>
      </c>
      <c r="R231">
        <v>1</v>
      </c>
    </row>
    <row r="232" spans="1:20">
      <c r="A232">
        <v>195</v>
      </c>
      <c r="B232">
        <v>223</v>
      </c>
      <c r="C232">
        <v>1</v>
      </c>
      <c r="D232" s="2" t="s">
        <v>666</v>
      </c>
      <c r="E232" s="2" t="s">
        <v>667</v>
      </c>
      <c r="F232">
        <v>1</v>
      </c>
      <c r="H232">
        <v>0</v>
      </c>
      <c r="I232">
        <v>0</v>
      </c>
      <c r="J232">
        <v>0</v>
      </c>
      <c r="P232" s="2" t="s">
        <v>167</v>
      </c>
      <c r="Q232">
        <v>1</v>
      </c>
      <c r="R232">
        <v>1</v>
      </c>
    </row>
    <row r="233" spans="1:20">
      <c r="A233">
        <v>224</v>
      </c>
      <c r="B233">
        <v>225</v>
      </c>
      <c r="C233">
        <v>1</v>
      </c>
      <c r="D233" s="2" t="s">
        <v>669</v>
      </c>
      <c r="E233" s="2" t="s">
        <v>670</v>
      </c>
      <c r="F233">
        <v>1</v>
      </c>
      <c r="G233" s="2" t="s">
        <v>257</v>
      </c>
      <c r="H233">
        <v>164000</v>
      </c>
      <c r="I233">
        <v>114800</v>
      </c>
      <c r="J233">
        <v>0</v>
      </c>
      <c r="P233" s="2" t="s">
        <v>167</v>
      </c>
      <c r="Q233">
        <v>1</v>
      </c>
      <c r="R233">
        <v>1</v>
      </c>
      <c r="S233" s="2" t="s">
        <v>671</v>
      </c>
      <c r="T233" s="2" t="s">
        <v>171</v>
      </c>
    </row>
    <row r="234" spans="1:20">
      <c r="A234">
        <v>224</v>
      </c>
      <c r="B234">
        <v>226</v>
      </c>
      <c r="C234">
        <v>1</v>
      </c>
      <c r="D234" s="2" t="s">
        <v>669</v>
      </c>
      <c r="E234" s="2" t="s">
        <v>672</v>
      </c>
      <c r="F234">
        <v>34.880000000000003</v>
      </c>
      <c r="G234" s="2" t="s">
        <v>213</v>
      </c>
      <c r="H234">
        <v>2900</v>
      </c>
      <c r="I234">
        <v>2030</v>
      </c>
      <c r="J234">
        <v>0</v>
      </c>
      <c r="P234" s="2" t="s">
        <v>167</v>
      </c>
      <c r="Q234">
        <v>1</v>
      </c>
      <c r="R234">
        <v>115.3</v>
      </c>
      <c r="S234" s="2" t="s">
        <v>379</v>
      </c>
      <c r="T234" s="2" t="s">
        <v>380</v>
      </c>
    </row>
    <row r="235" spans="1:20">
      <c r="A235">
        <v>224</v>
      </c>
      <c r="B235">
        <v>227</v>
      </c>
      <c r="C235">
        <v>1</v>
      </c>
      <c r="D235" s="2" t="s">
        <v>669</v>
      </c>
      <c r="E235" s="2" t="s">
        <v>673</v>
      </c>
      <c r="F235">
        <v>1</v>
      </c>
      <c r="G235" s="2" t="s">
        <v>163</v>
      </c>
      <c r="H235">
        <v>186000</v>
      </c>
      <c r="I235">
        <v>130200</v>
      </c>
      <c r="J235">
        <v>0</v>
      </c>
      <c r="P235" s="2" t="s">
        <v>167</v>
      </c>
      <c r="Q235">
        <v>1</v>
      </c>
      <c r="R235">
        <v>1</v>
      </c>
    </row>
    <row r="236" spans="1:20">
      <c r="A236">
        <v>224</v>
      </c>
      <c r="B236">
        <v>228</v>
      </c>
      <c r="C236">
        <v>1</v>
      </c>
      <c r="D236" s="2" t="s">
        <v>669</v>
      </c>
      <c r="E236" s="2" t="s">
        <v>674</v>
      </c>
      <c r="F236">
        <v>2</v>
      </c>
      <c r="G236" s="2" t="s">
        <v>219</v>
      </c>
      <c r="H236">
        <v>3200</v>
      </c>
      <c r="I236">
        <v>2200</v>
      </c>
      <c r="J236">
        <v>0</v>
      </c>
      <c r="P236" s="2" t="s">
        <v>167</v>
      </c>
      <c r="Q236">
        <v>1</v>
      </c>
      <c r="R236">
        <v>2</v>
      </c>
    </row>
    <row r="237" spans="1:20">
      <c r="A237">
        <v>224</v>
      </c>
      <c r="B237">
        <v>229</v>
      </c>
      <c r="C237">
        <v>1</v>
      </c>
      <c r="D237" s="2" t="s">
        <v>675</v>
      </c>
      <c r="E237" s="2" t="s">
        <v>676</v>
      </c>
      <c r="F237">
        <v>5</v>
      </c>
      <c r="G237" s="2" t="s">
        <v>347</v>
      </c>
      <c r="H237">
        <v>1300</v>
      </c>
      <c r="I237">
        <v>890</v>
      </c>
      <c r="J237">
        <v>0</v>
      </c>
      <c r="P237" s="2" t="s">
        <v>167</v>
      </c>
      <c r="Q237">
        <v>1</v>
      </c>
      <c r="R237">
        <v>7</v>
      </c>
      <c r="S237" s="2" t="s">
        <v>677</v>
      </c>
      <c r="T237" s="2" t="s">
        <v>678</v>
      </c>
    </row>
    <row r="238" spans="1:20">
      <c r="A238">
        <v>224</v>
      </c>
      <c r="B238">
        <v>230</v>
      </c>
      <c r="C238">
        <v>1</v>
      </c>
      <c r="D238" s="2" t="s">
        <v>679</v>
      </c>
      <c r="E238" s="2" t="s">
        <v>680</v>
      </c>
      <c r="F238">
        <v>2</v>
      </c>
      <c r="G238" s="2" t="s">
        <v>347</v>
      </c>
      <c r="H238">
        <v>4000</v>
      </c>
      <c r="I238">
        <v>2750</v>
      </c>
      <c r="J238">
        <v>0</v>
      </c>
      <c r="P238" s="2" t="s">
        <v>167</v>
      </c>
      <c r="Q238">
        <v>1</v>
      </c>
      <c r="R238">
        <v>2</v>
      </c>
      <c r="S238" s="2" t="s">
        <v>677</v>
      </c>
      <c r="T238" s="2" t="s">
        <v>681</v>
      </c>
    </row>
    <row r="239" spans="1:20">
      <c r="A239">
        <v>231</v>
      </c>
      <c r="B239">
        <v>232</v>
      </c>
      <c r="C239">
        <v>1</v>
      </c>
      <c r="D239" s="2" t="s">
        <v>683</v>
      </c>
      <c r="E239" s="2" t="s">
        <v>684</v>
      </c>
      <c r="F239">
        <v>1</v>
      </c>
      <c r="G239" s="2" t="s">
        <v>200</v>
      </c>
      <c r="H239">
        <v>175000</v>
      </c>
      <c r="I239">
        <v>122000</v>
      </c>
      <c r="J239">
        <v>0</v>
      </c>
      <c r="P239" s="2" t="s">
        <v>167</v>
      </c>
      <c r="Q239">
        <v>1</v>
      </c>
      <c r="R239">
        <v>1</v>
      </c>
    </row>
    <row r="240" spans="1:20">
      <c r="A240">
        <v>231</v>
      </c>
      <c r="B240">
        <v>233</v>
      </c>
      <c r="C240">
        <v>1</v>
      </c>
      <c r="D240" s="2" t="s">
        <v>685</v>
      </c>
      <c r="E240" s="2" t="s">
        <v>686</v>
      </c>
      <c r="F240">
        <v>1</v>
      </c>
      <c r="G240" s="2" t="s">
        <v>200</v>
      </c>
      <c r="H240">
        <v>152000</v>
      </c>
      <c r="I240">
        <v>106000</v>
      </c>
      <c r="J240">
        <v>0</v>
      </c>
      <c r="P240" s="2" t="s">
        <v>167</v>
      </c>
      <c r="Q240">
        <v>1</v>
      </c>
      <c r="R240">
        <v>1</v>
      </c>
    </row>
    <row r="241" spans="1:20">
      <c r="A241">
        <v>231</v>
      </c>
      <c r="B241">
        <v>234</v>
      </c>
      <c r="C241">
        <v>1</v>
      </c>
      <c r="D241" s="2" t="s">
        <v>687</v>
      </c>
      <c r="F241">
        <v>1</v>
      </c>
      <c r="H241">
        <v>0</v>
      </c>
      <c r="I241">
        <v>0</v>
      </c>
      <c r="J241">
        <v>0</v>
      </c>
      <c r="P241" s="2" t="s">
        <v>167</v>
      </c>
      <c r="Q241">
        <v>1</v>
      </c>
      <c r="R241">
        <v>1</v>
      </c>
    </row>
    <row r="242" spans="1:20">
      <c r="A242">
        <v>231</v>
      </c>
      <c r="B242">
        <v>235</v>
      </c>
      <c r="C242">
        <v>1</v>
      </c>
      <c r="D242" s="2" t="s">
        <v>688</v>
      </c>
      <c r="E242" s="2" t="s">
        <v>689</v>
      </c>
      <c r="F242">
        <v>2</v>
      </c>
      <c r="G242" s="2" t="s">
        <v>347</v>
      </c>
      <c r="H242">
        <v>5000</v>
      </c>
      <c r="I242">
        <v>3500</v>
      </c>
      <c r="J242">
        <v>0</v>
      </c>
      <c r="P242" s="2" t="s">
        <v>167</v>
      </c>
      <c r="Q242">
        <v>1</v>
      </c>
      <c r="R242">
        <v>2</v>
      </c>
    </row>
    <row r="243" spans="1:20">
      <c r="A243">
        <v>231</v>
      </c>
      <c r="B243">
        <v>236</v>
      </c>
      <c r="C243">
        <v>1</v>
      </c>
      <c r="D243" s="2" t="s">
        <v>333</v>
      </c>
      <c r="E243" s="2" t="s">
        <v>690</v>
      </c>
      <c r="F243">
        <v>1</v>
      </c>
      <c r="G243" s="2" t="s">
        <v>219</v>
      </c>
      <c r="H243">
        <v>14500</v>
      </c>
      <c r="I243">
        <v>10000</v>
      </c>
      <c r="J243">
        <v>0</v>
      </c>
      <c r="P243" s="2" t="s">
        <v>167</v>
      </c>
      <c r="Q243">
        <v>1</v>
      </c>
      <c r="R243">
        <v>1</v>
      </c>
    </row>
    <row r="244" spans="1:20">
      <c r="A244">
        <v>237</v>
      </c>
      <c r="B244">
        <v>238</v>
      </c>
      <c r="C244">
        <v>1</v>
      </c>
      <c r="D244" s="2" t="s">
        <v>692</v>
      </c>
      <c r="F244">
        <v>1</v>
      </c>
      <c r="G244" s="2" t="s">
        <v>163</v>
      </c>
      <c r="H244">
        <v>981700</v>
      </c>
      <c r="I244">
        <v>687150</v>
      </c>
      <c r="J244">
        <v>0</v>
      </c>
      <c r="P244" s="2" t="s">
        <v>167</v>
      </c>
      <c r="Q244">
        <v>1</v>
      </c>
      <c r="R244">
        <v>1</v>
      </c>
    </row>
    <row r="245" spans="1:20">
      <c r="A245">
        <v>237</v>
      </c>
      <c r="B245">
        <v>239</v>
      </c>
      <c r="C245">
        <v>1</v>
      </c>
      <c r="D245" s="2" t="s">
        <v>693</v>
      </c>
      <c r="F245">
        <v>1</v>
      </c>
      <c r="H245">
        <v>0</v>
      </c>
      <c r="I245">
        <v>0</v>
      </c>
      <c r="J245">
        <v>0</v>
      </c>
      <c r="P245" s="2" t="s">
        <v>167</v>
      </c>
      <c r="Q245">
        <v>1</v>
      </c>
      <c r="R245">
        <v>1</v>
      </c>
    </row>
    <row r="246" spans="1:20">
      <c r="A246">
        <v>237</v>
      </c>
      <c r="B246">
        <v>240</v>
      </c>
      <c r="C246">
        <v>1</v>
      </c>
      <c r="D246" s="2" t="s">
        <v>694</v>
      </c>
      <c r="F246">
        <v>1</v>
      </c>
      <c r="H246">
        <v>0</v>
      </c>
      <c r="I246">
        <v>0</v>
      </c>
      <c r="J246">
        <v>0</v>
      </c>
      <c r="P246" s="2" t="s">
        <v>167</v>
      </c>
      <c r="Q246">
        <v>1</v>
      </c>
      <c r="R246">
        <v>1</v>
      </c>
    </row>
    <row r="247" spans="1:20">
      <c r="A247">
        <v>237</v>
      </c>
      <c r="B247">
        <v>241</v>
      </c>
      <c r="C247">
        <v>1</v>
      </c>
      <c r="D247" s="2" t="s">
        <v>695</v>
      </c>
      <c r="F247">
        <v>1</v>
      </c>
      <c r="H247">
        <v>0</v>
      </c>
      <c r="I247">
        <v>0</v>
      </c>
      <c r="J247">
        <v>0</v>
      </c>
      <c r="P247" s="2" t="s">
        <v>167</v>
      </c>
      <c r="Q247">
        <v>1</v>
      </c>
      <c r="R247">
        <v>1</v>
      </c>
    </row>
    <row r="248" spans="1:20">
      <c r="A248">
        <v>237</v>
      </c>
      <c r="B248">
        <v>242</v>
      </c>
      <c r="C248">
        <v>1</v>
      </c>
      <c r="D248" s="2" t="s">
        <v>696</v>
      </c>
      <c r="F248">
        <v>1</v>
      </c>
      <c r="H248">
        <v>0</v>
      </c>
      <c r="I248">
        <v>0</v>
      </c>
      <c r="J248">
        <v>0</v>
      </c>
      <c r="P248" s="2" t="s">
        <v>167</v>
      </c>
      <c r="Q248">
        <v>1</v>
      </c>
      <c r="R248">
        <v>1</v>
      </c>
    </row>
    <row r="249" spans="1:20">
      <c r="A249">
        <v>237</v>
      </c>
      <c r="B249">
        <v>243</v>
      </c>
      <c r="C249">
        <v>1</v>
      </c>
      <c r="D249" s="2" t="s">
        <v>697</v>
      </c>
      <c r="E249" s="2" t="s">
        <v>698</v>
      </c>
      <c r="F249">
        <v>1</v>
      </c>
      <c r="H249">
        <v>0</v>
      </c>
      <c r="I249">
        <v>0</v>
      </c>
      <c r="J249">
        <v>0</v>
      </c>
      <c r="P249" s="2" t="s">
        <v>167</v>
      </c>
      <c r="Q249">
        <v>1</v>
      </c>
      <c r="R249">
        <v>1</v>
      </c>
    </row>
    <row r="250" spans="1:20">
      <c r="A250">
        <v>237</v>
      </c>
      <c r="B250">
        <v>244</v>
      </c>
      <c r="C250">
        <v>1</v>
      </c>
      <c r="D250" s="2" t="s">
        <v>699</v>
      </c>
      <c r="E250" s="2" t="s">
        <v>700</v>
      </c>
      <c r="F250">
        <v>1</v>
      </c>
      <c r="H250">
        <v>0</v>
      </c>
      <c r="I250">
        <v>0</v>
      </c>
      <c r="J250">
        <v>0</v>
      </c>
      <c r="P250" s="2" t="s">
        <v>167</v>
      </c>
      <c r="Q250">
        <v>1</v>
      </c>
      <c r="R250">
        <v>1</v>
      </c>
    </row>
    <row r="251" spans="1:20">
      <c r="A251">
        <v>245</v>
      </c>
      <c r="B251">
        <v>246</v>
      </c>
      <c r="C251">
        <v>1</v>
      </c>
      <c r="D251" s="2" t="s">
        <v>702</v>
      </c>
      <c r="E251" s="2" t="s">
        <v>703</v>
      </c>
      <c r="F251">
        <v>1</v>
      </c>
      <c r="G251" s="2" t="s">
        <v>219</v>
      </c>
      <c r="H251">
        <v>57200</v>
      </c>
      <c r="I251">
        <v>40000</v>
      </c>
      <c r="J251">
        <v>0</v>
      </c>
      <c r="P251" s="2" t="s">
        <v>204</v>
      </c>
      <c r="Q251">
        <v>1</v>
      </c>
      <c r="R251">
        <v>1</v>
      </c>
    </row>
    <row r="252" spans="1:20">
      <c r="A252">
        <v>247</v>
      </c>
      <c r="B252">
        <v>248</v>
      </c>
      <c r="C252">
        <v>1</v>
      </c>
      <c r="D252" s="2" t="s">
        <v>706</v>
      </c>
      <c r="F252">
        <v>115.3</v>
      </c>
      <c r="G252" s="2" t="s">
        <v>176</v>
      </c>
      <c r="H252">
        <v>450</v>
      </c>
      <c r="I252">
        <v>310</v>
      </c>
      <c r="J252">
        <v>0</v>
      </c>
      <c r="P252" s="2" t="s">
        <v>167</v>
      </c>
      <c r="Q252">
        <v>1</v>
      </c>
      <c r="R252">
        <v>115.3</v>
      </c>
      <c r="S252" s="2" t="s">
        <v>707</v>
      </c>
      <c r="T252" s="2" t="s">
        <v>380</v>
      </c>
    </row>
    <row r="253" spans="1:20">
      <c r="A253">
        <v>247</v>
      </c>
      <c r="B253">
        <v>249</v>
      </c>
      <c r="C253">
        <v>1</v>
      </c>
      <c r="D253" s="2" t="s">
        <v>708</v>
      </c>
      <c r="E253" s="2" t="s">
        <v>709</v>
      </c>
      <c r="F253">
        <v>2</v>
      </c>
      <c r="G253" s="2" t="s">
        <v>347</v>
      </c>
      <c r="H253">
        <v>20000</v>
      </c>
      <c r="I253">
        <v>14000</v>
      </c>
      <c r="J253">
        <v>0</v>
      </c>
      <c r="O253" s="2" t="s">
        <v>710</v>
      </c>
      <c r="P253" s="2" t="s">
        <v>167</v>
      </c>
      <c r="Q253">
        <v>1</v>
      </c>
      <c r="R253">
        <v>2</v>
      </c>
      <c r="S253" s="2" t="s">
        <v>711</v>
      </c>
      <c r="T253" s="2" t="s">
        <v>594</v>
      </c>
    </row>
    <row r="254" spans="1:20">
      <c r="A254">
        <v>247</v>
      </c>
      <c r="B254">
        <v>250</v>
      </c>
      <c r="C254">
        <v>1</v>
      </c>
      <c r="D254" s="2" t="s">
        <v>712</v>
      </c>
      <c r="E254" s="2" t="s">
        <v>713</v>
      </c>
      <c r="F254">
        <v>1</v>
      </c>
      <c r="G254" s="2" t="s">
        <v>347</v>
      </c>
      <c r="H254">
        <v>32900</v>
      </c>
      <c r="I254">
        <v>23000</v>
      </c>
      <c r="J254">
        <v>0</v>
      </c>
      <c r="O254" s="2" t="s">
        <v>714</v>
      </c>
      <c r="P254" s="2" t="s">
        <v>167</v>
      </c>
      <c r="Q254">
        <v>1</v>
      </c>
      <c r="R254">
        <v>1</v>
      </c>
      <c r="S254" s="2" t="s">
        <v>224</v>
      </c>
      <c r="T254" s="2" t="s">
        <v>171</v>
      </c>
    </row>
    <row r="255" spans="1:20">
      <c r="A255">
        <v>247</v>
      </c>
      <c r="B255">
        <v>251</v>
      </c>
      <c r="C255">
        <v>1</v>
      </c>
      <c r="D255" s="2" t="s">
        <v>715</v>
      </c>
      <c r="E255" s="2" t="s">
        <v>716</v>
      </c>
      <c r="F255">
        <v>2</v>
      </c>
      <c r="G255" s="2" t="s">
        <v>257</v>
      </c>
      <c r="H255">
        <v>17800</v>
      </c>
      <c r="I255">
        <v>12400</v>
      </c>
      <c r="J255">
        <v>0</v>
      </c>
      <c r="P255" s="2" t="s">
        <v>204</v>
      </c>
      <c r="Q255">
        <v>1</v>
      </c>
      <c r="R255">
        <v>2</v>
      </c>
    </row>
    <row r="256" spans="1:20">
      <c r="A256">
        <v>252</v>
      </c>
      <c r="B256">
        <v>253</v>
      </c>
      <c r="C256">
        <v>1</v>
      </c>
      <c r="D256" s="2" t="s">
        <v>718</v>
      </c>
      <c r="F256">
        <v>1</v>
      </c>
      <c r="G256" s="2" t="s">
        <v>163</v>
      </c>
      <c r="H256">
        <v>775600</v>
      </c>
      <c r="I256">
        <v>536520</v>
      </c>
      <c r="J256">
        <v>0</v>
      </c>
      <c r="P256" s="2" t="s">
        <v>167</v>
      </c>
      <c r="Q256">
        <v>1</v>
      </c>
      <c r="R256">
        <v>1</v>
      </c>
    </row>
    <row r="257" spans="1:20">
      <c r="A257">
        <v>252</v>
      </c>
      <c r="B257">
        <v>254</v>
      </c>
      <c r="C257">
        <v>1</v>
      </c>
      <c r="D257" s="2" t="s">
        <v>719</v>
      </c>
      <c r="E257" s="2" t="s">
        <v>720</v>
      </c>
      <c r="F257">
        <v>1</v>
      </c>
      <c r="G257" s="2" t="s">
        <v>163</v>
      </c>
      <c r="H257">
        <v>401700</v>
      </c>
      <c r="I257">
        <v>272952</v>
      </c>
      <c r="J257">
        <v>0</v>
      </c>
      <c r="P257" s="2" t="s">
        <v>167</v>
      </c>
      <c r="Q257">
        <v>1</v>
      </c>
      <c r="R257">
        <v>1</v>
      </c>
    </row>
    <row r="258" spans="1:20">
      <c r="A258">
        <v>252</v>
      </c>
      <c r="B258">
        <v>255</v>
      </c>
      <c r="C258">
        <v>1</v>
      </c>
      <c r="D258" s="2" t="s">
        <v>721</v>
      </c>
      <c r="F258">
        <v>1</v>
      </c>
      <c r="G258" s="2" t="s">
        <v>163</v>
      </c>
      <c r="H258">
        <v>169950</v>
      </c>
      <c r="I258">
        <v>117810</v>
      </c>
      <c r="J258">
        <v>0</v>
      </c>
      <c r="P258" s="2" t="s">
        <v>167</v>
      </c>
      <c r="Q258">
        <v>1</v>
      </c>
      <c r="R258">
        <v>1</v>
      </c>
    </row>
    <row r="259" spans="1:20">
      <c r="A259">
        <v>256</v>
      </c>
      <c r="B259">
        <v>257</v>
      </c>
      <c r="C259">
        <v>1</v>
      </c>
      <c r="D259" s="2" t="s">
        <v>723</v>
      </c>
      <c r="E259" s="2" t="s">
        <v>724</v>
      </c>
      <c r="F259">
        <v>1</v>
      </c>
      <c r="G259" s="2" t="s">
        <v>163</v>
      </c>
      <c r="H259">
        <v>50000</v>
      </c>
      <c r="I259">
        <v>35000</v>
      </c>
      <c r="J259">
        <v>0</v>
      </c>
      <c r="P259" s="2" t="s">
        <v>167</v>
      </c>
      <c r="Q259">
        <v>1</v>
      </c>
      <c r="R259">
        <v>1</v>
      </c>
      <c r="S259" s="2" t="s">
        <v>725</v>
      </c>
      <c r="T259" s="2" t="s">
        <v>171</v>
      </c>
    </row>
    <row r="260" spans="1:20">
      <c r="A260">
        <v>256</v>
      </c>
      <c r="B260">
        <v>258</v>
      </c>
      <c r="C260">
        <v>1</v>
      </c>
      <c r="D260" s="2" t="s">
        <v>726</v>
      </c>
      <c r="E260" s="2" t="s">
        <v>727</v>
      </c>
      <c r="F260">
        <v>1</v>
      </c>
      <c r="G260" s="2" t="s">
        <v>163</v>
      </c>
      <c r="H260">
        <v>1220000</v>
      </c>
      <c r="I260">
        <v>854000</v>
      </c>
      <c r="J260">
        <v>0</v>
      </c>
      <c r="P260" s="2" t="s">
        <v>167</v>
      </c>
      <c r="Q260">
        <v>1</v>
      </c>
      <c r="R260">
        <v>1</v>
      </c>
    </row>
  </sheetData>
  <sortState xmlns:xlrd2="http://schemas.microsoft.com/office/spreadsheetml/2017/richdata2" ref="A2:T260">
    <sortCondition ref="A2"/>
  </sortState>
  <dataConsolidate/>
  <phoneticPr fontId="4"/>
  <pageMargins left="0.75" right="0.75" top="1" bottom="1" header="0.51200000000000001" footer="0.51200000000000001"/>
  <pageSetup paperSize="9" orientation="landscape" horizontalDpi="400" verticalDpi="4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Q99"/>
  <sheetViews>
    <sheetView zoomScaleNormal="100" workbookViewId="0">
      <selection activeCell="H28" sqref="H28"/>
    </sheetView>
  </sheetViews>
  <sheetFormatPr defaultRowHeight="13.5"/>
  <cols>
    <col min="1" max="1" width="2.625" customWidth="1"/>
    <col min="2" max="2" width="1.125" customWidth="1"/>
    <col min="3" max="3" width="3.875" customWidth="1"/>
    <col min="4" max="4" width="19.625" customWidth="1"/>
    <col min="5" max="5" width="27.5" customWidth="1"/>
    <col min="6" max="6" width="10.875" customWidth="1"/>
    <col min="7" max="7" width="17.375" customWidth="1"/>
    <col min="8" max="8" width="30.25" customWidth="1"/>
    <col min="9" max="9" width="2.625" customWidth="1"/>
    <col min="10" max="10" width="3.5" customWidth="1"/>
  </cols>
  <sheetData>
    <row r="1" spans="1:17" ht="14.25" thickBot="1">
      <c r="A1" s="12"/>
      <c r="B1" s="15"/>
      <c r="C1" s="15"/>
      <c r="D1" s="15"/>
      <c r="E1" s="15"/>
      <c r="F1" s="15"/>
      <c r="G1" s="15"/>
      <c r="H1" s="15"/>
      <c r="I1" s="15"/>
      <c r="J1" s="12"/>
    </row>
    <row r="2" spans="1:17" ht="14.25" thickTop="1">
      <c r="A2" s="12"/>
      <c r="B2" s="14"/>
      <c r="C2" s="11"/>
      <c r="D2" s="11"/>
      <c r="E2" s="11"/>
      <c r="F2" s="11"/>
      <c r="G2" s="11"/>
      <c r="H2" s="11"/>
      <c r="I2" s="11"/>
      <c r="J2" s="13"/>
    </row>
    <row r="3" spans="1:17" ht="14.25" thickBot="1">
      <c r="A3" s="12"/>
      <c r="B3" s="14"/>
      <c r="C3" s="11"/>
      <c r="D3" s="11"/>
      <c r="E3" s="11"/>
      <c r="F3" s="11"/>
      <c r="G3" s="11"/>
      <c r="H3" s="11"/>
      <c r="I3" s="16"/>
      <c r="J3" s="13"/>
    </row>
    <row r="4" spans="1:17" ht="15" thickTop="1" thickBot="1">
      <c r="A4" s="12"/>
      <c r="B4" s="14"/>
      <c r="C4" s="11"/>
      <c r="D4" s="11" t="s">
        <v>20</v>
      </c>
      <c r="E4" s="27">
        <v>20</v>
      </c>
      <c r="G4" s="11"/>
      <c r="I4" s="16"/>
      <c r="J4" s="13"/>
    </row>
    <row r="5" spans="1:17" ht="14.25" thickTop="1">
      <c r="A5" s="12"/>
      <c r="B5" s="14"/>
      <c r="C5" s="11"/>
      <c r="D5" s="23" t="s">
        <v>58</v>
      </c>
      <c r="E5" s="11"/>
      <c r="F5" s="11"/>
      <c r="G5" s="11"/>
      <c r="H5" s="11"/>
      <c r="I5" s="16"/>
      <c r="J5" s="13"/>
    </row>
    <row r="6" spans="1:17">
      <c r="A6" s="12"/>
      <c r="B6" s="14"/>
      <c r="C6" s="11"/>
      <c r="D6" s="11"/>
      <c r="E6" s="11"/>
      <c r="F6" s="11"/>
      <c r="G6" s="11"/>
      <c r="H6" s="11"/>
      <c r="I6" s="16"/>
      <c r="J6" s="13"/>
    </row>
    <row r="7" spans="1:17">
      <c r="A7" s="12"/>
      <c r="B7" s="14"/>
      <c r="C7" s="11"/>
      <c r="D7" s="11" t="s">
        <v>21</v>
      </c>
      <c r="E7" s="28" t="s">
        <v>73</v>
      </c>
      <c r="F7" s="11"/>
      <c r="G7" s="11"/>
      <c r="H7" s="11"/>
      <c r="I7" s="16"/>
      <c r="J7" s="13"/>
    </row>
    <row r="8" spans="1:17">
      <c r="A8" s="12"/>
      <c r="B8" s="14"/>
      <c r="C8" s="11"/>
      <c r="D8" s="11"/>
      <c r="E8" s="11"/>
      <c r="F8" s="11"/>
      <c r="G8" s="11"/>
      <c r="H8" s="11"/>
      <c r="I8" s="16"/>
      <c r="J8" s="13"/>
      <c r="M8" s="114" t="s">
        <v>138</v>
      </c>
      <c r="Q8" s="114" t="s">
        <v>147</v>
      </c>
    </row>
    <row r="9" spans="1:17" ht="15" thickBot="1">
      <c r="A9" s="12"/>
      <c r="B9" s="14"/>
      <c r="C9" s="11"/>
      <c r="D9" s="18" t="s">
        <v>22</v>
      </c>
      <c r="E9" s="11"/>
      <c r="F9" s="11"/>
      <c r="G9" s="11"/>
      <c r="H9" s="11"/>
      <c r="I9" s="16"/>
      <c r="J9" s="13"/>
      <c r="M9" s="114" t="s">
        <v>139</v>
      </c>
      <c r="Q9" s="114" t="s">
        <v>148</v>
      </c>
    </row>
    <row r="10" spans="1:17" ht="14.25" thickBot="1">
      <c r="A10" s="12"/>
      <c r="B10" s="14"/>
      <c r="C10" s="11"/>
      <c r="D10" s="11" t="s">
        <v>23</v>
      </c>
      <c r="E10" s="192" t="s">
        <v>743</v>
      </c>
      <c r="F10" s="11"/>
      <c r="G10" s="11" t="s">
        <v>59</v>
      </c>
      <c r="H10" s="31" t="s">
        <v>157</v>
      </c>
      <c r="I10" s="16"/>
      <c r="J10" s="13"/>
      <c r="M10" s="117" t="s">
        <v>93</v>
      </c>
      <c r="Q10" s="114" t="s">
        <v>149</v>
      </c>
    </row>
    <row r="11" spans="1:17" ht="14.25" thickBot="1">
      <c r="A11" s="12"/>
      <c r="B11" s="14"/>
      <c r="C11" s="11"/>
      <c r="D11" s="11" t="s">
        <v>40</v>
      </c>
      <c r="E11" s="192" t="s">
        <v>744</v>
      </c>
      <c r="F11" s="11"/>
      <c r="G11" s="11" t="s">
        <v>60</v>
      </c>
      <c r="H11" s="25" t="s">
        <v>157</v>
      </c>
      <c r="I11" s="16"/>
      <c r="J11" s="13"/>
    </row>
    <row r="12" spans="1:17" ht="14.25" thickBot="1">
      <c r="A12" s="12"/>
      <c r="B12" s="14"/>
      <c r="C12" s="11"/>
      <c r="D12" s="11" t="s">
        <v>41</v>
      </c>
      <c r="E12" s="191" t="s">
        <v>158</v>
      </c>
      <c r="F12" s="11"/>
      <c r="G12" s="11" t="s">
        <v>61</v>
      </c>
      <c r="H12" s="31" t="s">
        <v>157</v>
      </c>
      <c r="I12" s="16"/>
      <c r="J12" s="13"/>
      <c r="M12" s="114"/>
    </row>
    <row r="13" spans="1:17" ht="14.25" thickBot="1">
      <c r="A13" s="12"/>
      <c r="B13" s="14"/>
      <c r="C13" s="11"/>
      <c r="D13" s="11" t="s">
        <v>57</v>
      </c>
      <c r="E13" s="192" t="s">
        <v>745</v>
      </c>
      <c r="F13" s="11"/>
      <c r="G13" s="11" t="s">
        <v>62</v>
      </c>
      <c r="H13" s="31" t="s">
        <v>157</v>
      </c>
      <c r="I13" s="16"/>
      <c r="J13" s="13"/>
      <c r="M13" s="115"/>
    </row>
    <row r="14" spans="1:17" ht="14.25" thickBot="1">
      <c r="A14" s="12"/>
      <c r="B14" s="14"/>
      <c r="C14" s="11"/>
      <c r="D14" s="11" t="s">
        <v>42</v>
      </c>
      <c r="E14" s="24">
        <v>115.3</v>
      </c>
      <c r="F14" s="11" t="s">
        <v>55</v>
      </c>
      <c r="G14" s="11" t="s">
        <v>63</v>
      </c>
      <c r="H14" s="25" t="s">
        <v>157</v>
      </c>
      <c r="I14" s="16"/>
      <c r="J14" s="13"/>
      <c r="M14" s="115"/>
    </row>
    <row r="15" spans="1:17" ht="14.25" thickBot="1">
      <c r="A15" s="12"/>
      <c r="B15" s="14"/>
      <c r="C15" s="11"/>
      <c r="D15" s="11"/>
      <c r="E15" s="24">
        <v>34.869999999999997</v>
      </c>
      <c r="F15" s="11" t="s">
        <v>56</v>
      </c>
      <c r="G15" s="11" t="s">
        <v>64</v>
      </c>
      <c r="H15" s="31" t="s">
        <v>157</v>
      </c>
      <c r="I15" s="16"/>
      <c r="J15" s="13"/>
      <c r="M15" s="115"/>
    </row>
    <row r="16" spans="1:17" ht="14.25" thickBot="1">
      <c r="A16" s="12"/>
      <c r="B16" s="14"/>
      <c r="C16" s="11"/>
      <c r="D16" s="11" t="s">
        <v>44</v>
      </c>
      <c r="E16" s="24" t="s">
        <v>161</v>
      </c>
      <c r="F16" s="11"/>
      <c r="G16" s="11" t="s">
        <v>65</v>
      </c>
      <c r="H16" s="31" t="s">
        <v>157</v>
      </c>
      <c r="I16" s="16"/>
      <c r="J16" s="13"/>
      <c r="M16" s="115"/>
    </row>
    <row r="17" spans="1:15" ht="14.25" thickBot="1">
      <c r="A17" s="12"/>
      <c r="B17" s="14"/>
      <c r="C17" s="11"/>
      <c r="D17" s="11" t="s">
        <v>24</v>
      </c>
      <c r="E17" s="26">
        <f>明細書!$G$41</f>
        <v>35971100</v>
      </c>
      <c r="F17" s="19"/>
      <c r="G17" s="11" t="s">
        <v>66</v>
      </c>
      <c r="H17" s="32" t="s">
        <v>157</v>
      </c>
      <c r="I17" s="16"/>
      <c r="J17" s="13"/>
      <c r="M17" s="115"/>
    </row>
    <row r="18" spans="1:15" ht="14.25" thickBot="1">
      <c r="A18" s="12"/>
      <c r="B18" s="14"/>
      <c r="C18" s="11"/>
      <c r="D18" s="11" t="s">
        <v>43</v>
      </c>
      <c r="E18" s="26">
        <f>明細書!$G$27</f>
        <v>3270100</v>
      </c>
      <c r="F18" s="11"/>
      <c r="G18" s="11" t="s">
        <v>67</v>
      </c>
      <c r="H18" s="25" t="s">
        <v>157</v>
      </c>
      <c r="I18" s="16"/>
      <c r="J18" s="13"/>
      <c r="M18" s="115"/>
    </row>
    <row r="19" spans="1:15" ht="14.25" thickBot="1">
      <c r="A19" s="12"/>
      <c r="B19" s="14"/>
      <c r="C19" s="11"/>
      <c r="D19" s="11"/>
      <c r="E19" s="11"/>
      <c r="F19" s="11"/>
      <c r="G19" s="46" t="s">
        <v>92</v>
      </c>
      <c r="H19" s="195" t="s">
        <v>746</v>
      </c>
      <c r="I19" s="16"/>
      <c r="J19" s="13"/>
      <c r="M19" s="115"/>
    </row>
    <row r="20" spans="1:15" ht="14.25" thickBot="1">
      <c r="A20" s="12"/>
      <c r="B20" s="14"/>
      <c r="C20" s="11"/>
      <c r="D20" s="11"/>
      <c r="E20" s="11"/>
      <c r="F20" s="11"/>
      <c r="G20" s="113" t="s">
        <v>137</v>
      </c>
      <c r="H20" s="194">
        <v>45942</v>
      </c>
      <c r="I20" s="16"/>
      <c r="J20" s="13"/>
      <c r="M20" s="115"/>
    </row>
    <row r="21" spans="1:15" ht="15" thickBot="1">
      <c r="A21" s="12"/>
      <c r="B21" s="14"/>
      <c r="C21" s="11"/>
      <c r="D21" s="18" t="s">
        <v>25</v>
      </c>
      <c r="E21" s="11"/>
      <c r="F21" s="11"/>
      <c r="G21" s="113" t="s">
        <v>153</v>
      </c>
      <c r="H21" s="193" t="s">
        <v>747</v>
      </c>
      <c r="I21" s="16"/>
      <c r="J21" s="13"/>
      <c r="M21" s="115"/>
    </row>
    <row r="22" spans="1:15" ht="14.25" thickBot="1">
      <c r="A22" s="12"/>
      <c r="B22" s="14"/>
      <c r="C22" s="11"/>
      <c r="D22" s="11" t="s">
        <v>26</v>
      </c>
      <c r="E22" s="20" t="s">
        <v>160</v>
      </c>
      <c r="F22" s="11"/>
      <c r="G22" s="11"/>
      <c r="H22" s="11"/>
      <c r="I22" s="16"/>
      <c r="J22" s="13"/>
      <c r="M22" s="115"/>
    </row>
    <row r="23" spans="1:15" ht="14.25" thickBot="1">
      <c r="A23" s="12"/>
      <c r="B23" s="14"/>
      <c r="C23" s="11"/>
      <c r="D23" s="11" t="s">
        <v>27</v>
      </c>
      <c r="E23" s="9">
        <v>10</v>
      </c>
      <c r="F23" s="11" t="s">
        <v>28</v>
      </c>
      <c r="G23" s="11"/>
      <c r="H23" s="11"/>
      <c r="I23" s="16"/>
      <c r="J23" s="13"/>
      <c r="M23" s="115"/>
    </row>
    <row r="24" spans="1:15" ht="14.25" thickBot="1">
      <c r="A24" s="12"/>
      <c r="B24" s="14"/>
      <c r="C24" s="11"/>
      <c r="D24" s="11" t="s">
        <v>29</v>
      </c>
      <c r="E24" s="10" t="s">
        <v>161</v>
      </c>
      <c r="F24" s="11"/>
      <c r="G24" s="11"/>
      <c r="H24" s="11"/>
      <c r="I24" s="16"/>
      <c r="J24" s="13"/>
      <c r="M24" s="115"/>
    </row>
    <row r="25" spans="1:15" ht="14.25" thickBot="1">
      <c r="A25" s="12"/>
      <c r="B25" s="14"/>
      <c r="C25" s="11"/>
      <c r="D25" s="11"/>
      <c r="E25" s="11"/>
      <c r="F25" s="11"/>
      <c r="G25" s="11"/>
      <c r="H25" s="11"/>
      <c r="I25" s="16"/>
      <c r="J25" s="13"/>
    </row>
    <row r="26" spans="1:15" ht="15" thickBot="1">
      <c r="A26" s="12"/>
      <c r="B26" s="14"/>
      <c r="C26" s="11"/>
      <c r="D26" s="30" t="s">
        <v>70</v>
      </c>
      <c r="E26" s="29"/>
      <c r="F26" s="11"/>
      <c r="G26" s="113" t="s">
        <v>140</v>
      </c>
      <c r="H26" s="196" t="s">
        <v>748</v>
      </c>
      <c r="I26" s="16"/>
      <c r="J26" s="13"/>
      <c r="M26" s="116" t="s">
        <v>142</v>
      </c>
      <c r="O26" s="114" t="s">
        <v>154</v>
      </c>
    </row>
    <row r="27" spans="1:15" ht="14.25" thickBot="1">
      <c r="A27" s="12"/>
      <c r="B27" s="14"/>
      <c r="C27" s="11"/>
      <c r="D27" s="29" t="s">
        <v>71</v>
      </c>
      <c r="E27" s="75" t="s">
        <v>70</v>
      </c>
      <c r="F27" s="11"/>
      <c r="G27" s="113" t="s">
        <v>141</v>
      </c>
      <c r="H27" s="197">
        <v>45955</v>
      </c>
      <c r="I27" s="16"/>
      <c r="J27" s="13"/>
      <c r="M27" s="116" t="s">
        <v>155</v>
      </c>
    </row>
    <row r="28" spans="1:15" ht="14.25" thickBot="1">
      <c r="A28" s="12"/>
      <c r="B28" s="14"/>
      <c r="C28" s="11"/>
      <c r="D28" s="11"/>
      <c r="E28" s="11"/>
      <c r="F28" s="11"/>
      <c r="G28" s="113" t="s">
        <v>146</v>
      </c>
      <c r="H28" s="196" t="s">
        <v>149</v>
      </c>
      <c r="I28" s="16"/>
      <c r="J28" s="13"/>
      <c r="M28" s="116" t="s">
        <v>143</v>
      </c>
    </row>
    <row r="29" spans="1:15">
      <c r="A29" s="12"/>
      <c r="B29" s="14"/>
      <c r="C29" s="11"/>
      <c r="D29" s="11"/>
      <c r="E29" s="11"/>
      <c r="F29" s="11"/>
      <c r="G29" s="11"/>
      <c r="H29" s="11"/>
      <c r="I29" s="16"/>
      <c r="J29" s="13"/>
      <c r="M29" s="116" t="s">
        <v>144</v>
      </c>
    </row>
    <row r="30" spans="1:15" ht="43.5" customHeight="1">
      <c r="A30" s="12"/>
      <c r="B30" s="14"/>
      <c r="C30" s="11"/>
      <c r="D30" s="11"/>
      <c r="E30" s="11"/>
      <c r="F30" s="11"/>
      <c r="G30" s="258" t="s">
        <v>68</v>
      </c>
      <c r="H30" s="259"/>
      <c r="I30" s="16"/>
      <c r="J30" s="13"/>
    </row>
    <row r="31" spans="1:15">
      <c r="A31" s="12"/>
      <c r="B31" s="14"/>
      <c r="C31" s="11"/>
      <c r="D31" s="11"/>
      <c r="E31" s="11"/>
      <c r="F31" s="11"/>
      <c r="G31" s="11"/>
      <c r="H31" s="11"/>
      <c r="I31" s="16"/>
      <c r="J31" s="13"/>
    </row>
    <row r="32" spans="1:15" ht="37.5" customHeight="1">
      <c r="A32" s="12"/>
      <c r="B32" s="14"/>
      <c r="C32" s="11"/>
      <c r="D32" s="11"/>
      <c r="E32" s="11"/>
      <c r="F32" s="11"/>
      <c r="G32" s="11"/>
      <c r="H32" s="11"/>
      <c r="I32" s="16"/>
      <c r="J32" s="13"/>
    </row>
    <row r="33" spans="1:10" ht="14.25" thickBot="1">
      <c r="A33" s="12"/>
      <c r="B33" s="14"/>
      <c r="C33" s="11"/>
      <c r="D33" s="11"/>
      <c r="E33" s="11"/>
      <c r="F33" s="11"/>
      <c r="G33" s="11"/>
      <c r="H33" s="11"/>
      <c r="J33" s="13"/>
    </row>
    <row r="34" spans="1:10" ht="12" customHeight="1" thickTop="1">
      <c r="A34" s="12"/>
      <c r="B34" s="17"/>
      <c r="C34" s="17"/>
      <c r="D34" s="17"/>
      <c r="E34" s="17"/>
      <c r="F34" s="17"/>
      <c r="G34" s="17"/>
      <c r="H34" s="17"/>
      <c r="I34" s="17"/>
      <c r="J34" s="12"/>
    </row>
    <row r="35" spans="1:10" ht="12" customHeight="1"/>
    <row r="36" spans="1:10" ht="12" customHeight="1"/>
    <row r="37" spans="1:10" ht="12" customHeight="1"/>
    <row r="38" spans="1:10" ht="12" customHeight="1"/>
    <row r="39" spans="1:10" ht="12" customHeight="1"/>
    <row r="40" spans="1:10" ht="12" customHeight="1"/>
    <row r="41" spans="1:10" ht="12" customHeight="1"/>
    <row r="42" spans="1:10" ht="12" customHeight="1"/>
    <row r="43" spans="1:10" ht="12" customHeight="1"/>
    <row r="44" spans="1:10" ht="12" customHeight="1"/>
    <row r="45" spans="1:10" ht="12" customHeight="1"/>
    <row r="46" spans="1:10" ht="12" customHeight="1"/>
    <row r="47" spans="1:10" ht="12" customHeight="1"/>
    <row r="48" spans="1:10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spans="6:8" ht="12" customHeight="1"/>
    <row r="66" spans="6:8" ht="12" customHeight="1"/>
    <row r="67" spans="6:8" ht="12" customHeight="1"/>
    <row r="68" spans="6:8" ht="12" customHeight="1"/>
    <row r="69" spans="6:8" ht="12" customHeight="1"/>
    <row r="70" spans="6:8" ht="12" customHeight="1"/>
    <row r="71" spans="6:8" ht="12" customHeight="1"/>
    <row r="72" spans="6:8" ht="12" customHeight="1"/>
    <row r="73" spans="6:8" ht="12" customHeight="1"/>
    <row r="74" spans="6:8" ht="12" customHeight="1"/>
    <row r="75" spans="6:8" ht="12" customHeight="1"/>
    <row r="76" spans="6:8" ht="12" customHeight="1"/>
    <row r="77" spans="6:8" ht="12" customHeight="1"/>
    <row r="78" spans="6:8" ht="12" customHeight="1"/>
    <row r="79" spans="6:8" ht="12" customHeight="1"/>
    <row r="80" spans="6:8" ht="12" customHeight="1">
      <c r="F80" s="3"/>
      <c r="G80" s="3"/>
      <c r="H80" s="3"/>
    </row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</sheetData>
  <mergeCells count="1">
    <mergeCell ref="G30:H30"/>
  </mergeCells>
  <phoneticPr fontId="4"/>
  <dataValidations count="2">
    <dataValidation type="whole" allowBlank="1" showInputMessage="1" showErrorMessage="1" sqref="E4" xr:uid="{00000000-0002-0000-0400-000000000000}">
      <formula1>10</formula1>
      <formula2>100</formula2>
    </dataValidation>
    <dataValidation type="list" allowBlank="1" showInputMessage="1" showErrorMessage="1" sqref="H28" xr:uid="{1BB75C58-21F5-459A-BD52-5255856044AD}">
      <formula1>$Q$9:$Q$10</formula1>
    </dataValidation>
  </dataValidations>
  <hyperlinks>
    <hyperlink ref="H17" r:id="rId1" display="https://www.nipponjuken.co.jp/" xr:uid="{FA6F4673-267E-45BC-8129-0C0B29E27F99}"/>
  </hyperlinks>
  <pageMargins left="0.75" right="0.75" top="1" bottom="1" header="0.51200000000000001" footer="0.51200000000000001"/>
  <pageSetup paperSize="9" scale="73" orientation="portrait" horizontalDpi="400" verticalDpi="400" r:id="rId2"/>
  <headerFooter alignWithMargins="0"/>
  <drawing r:id="rId3"/>
  <legacyDrawing r:id="rId4"/>
  <controls>
    <mc:AlternateContent xmlns:mc="http://schemas.openxmlformats.org/markup-compatibility/2006">
      <mc:Choice Requires="x14">
        <control shapeId="3086" r:id="rId5" name="CommandButton1">
          <controlPr defaultSize="0" autoLine="0" r:id="rId6">
            <anchor moveWithCells="1">
              <from>
                <xdr:col>6</xdr:col>
                <xdr:colOff>28575</xdr:colOff>
                <xdr:row>22</xdr:row>
                <xdr:rowOff>47625</xdr:rowOff>
              </from>
              <to>
                <xdr:col>6</xdr:col>
                <xdr:colOff>1257300</xdr:colOff>
                <xdr:row>24</xdr:row>
                <xdr:rowOff>19050</xdr:rowOff>
              </to>
            </anchor>
          </controlPr>
        </control>
      </mc:Choice>
      <mc:Fallback>
        <control shapeId="3086" r:id="rId5" name="CommandButton1"/>
      </mc:Fallback>
    </mc:AlternateContent>
    <mc:AlternateContent xmlns:mc="http://schemas.openxmlformats.org/markup-compatibility/2006">
      <mc:Choice Requires="x14">
        <control shapeId="3087" r:id="rId7" name="CommandButton2">
          <controlPr defaultSize="0" autoLine="0" r:id="rId8">
            <anchor moveWithCells="1">
              <from>
                <xdr:col>6</xdr:col>
                <xdr:colOff>19050</xdr:colOff>
                <xdr:row>30</xdr:row>
                <xdr:rowOff>152400</xdr:rowOff>
              </from>
              <to>
                <xdr:col>7</xdr:col>
                <xdr:colOff>952500</xdr:colOff>
                <xdr:row>31</xdr:row>
                <xdr:rowOff>285750</xdr:rowOff>
              </to>
            </anchor>
          </controlPr>
        </control>
      </mc:Choice>
      <mc:Fallback>
        <control shapeId="3087" r:id="rId7" name="CommandButton2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19DD-C32C-4709-8D36-94EBF355F6AD}">
  <sheetPr>
    <pageSetUpPr fitToPage="1"/>
  </sheetPr>
  <dimension ref="A1:U50"/>
  <sheetViews>
    <sheetView view="pageBreakPreview" zoomScale="85" zoomScaleNormal="100" zoomScaleSheetLayoutView="85" workbookViewId="0">
      <selection activeCell="G32" sqref="G32"/>
    </sheetView>
  </sheetViews>
  <sheetFormatPr defaultColWidth="9" defaultRowHeight="13.5"/>
  <cols>
    <col min="1" max="1" width="4.25" style="82" customWidth="1"/>
    <col min="2" max="2" width="41.5" style="88" bestFit="1" customWidth="1"/>
    <col min="3" max="3" width="30" style="88" customWidth="1"/>
    <col min="4" max="5" width="7.75" style="88" bestFit="1" customWidth="1"/>
    <col min="6" max="6" width="16.25" style="96" customWidth="1"/>
    <col min="7" max="7" width="17.75" style="96" bestFit="1" customWidth="1"/>
    <col min="8" max="8" width="16.375" style="96" customWidth="1"/>
    <col min="9" max="9" width="16.375" style="97" customWidth="1"/>
    <col min="10" max="10" width="1.625" style="97" customWidth="1"/>
    <col min="11" max="11" width="14.25" style="88" bestFit="1" customWidth="1"/>
    <col min="12" max="12" width="20.375" style="88" customWidth="1"/>
    <col min="13" max="13" width="1.25" style="88" customWidth="1"/>
    <col min="14" max="16384" width="9" style="88"/>
  </cols>
  <sheetData>
    <row r="1" spans="1:12" ht="33" customHeight="1" thickBot="1">
      <c r="B1" s="109" t="s">
        <v>124</v>
      </c>
      <c r="F1" s="108" t="s">
        <v>131</v>
      </c>
      <c r="G1" s="187">
        <v>45955</v>
      </c>
      <c r="H1" s="188" t="s">
        <v>132</v>
      </c>
      <c r="I1" s="186" t="s">
        <v>740</v>
      </c>
    </row>
    <row r="2" spans="1:12" s="82" customFormat="1" ht="16.899999999999999" customHeight="1">
      <c r="A2" s="76" t="s">
        <v>94</v>
      </c>
      <c r="B2" s="77" t="s">
        <v>95</v>
      </c>
      <c r="C2" s="77" t="s">
        <v>96</v>
      </c>
      <c r="D2" s="77" t="s">
        <v>97</v>
      </c>
      <c r="E2" s="78" t="s">
        <v>98</v>
      </c>
      <c r="F2" s="79" t="s">
        <v>99</v>
      </c>
      <c r="G2" s="106" t="s">
        <v>123</v>
      </c>
      <c r="H2" s="79" t="s">
        <v>100</v>
      </c>
      <c r="I2" s="80" t="s">
        <v>101</v>
      </c>
      <c r="J2" s="81"/>
    </row>
    <row r="3" spans="1:12" ht="16.899999999999999" customHeight="1">
      <c r="A3" s="83">
        <v>1</v>
      </c>
      <c r="B3" s="84" t="str">
        <f>VLOOKUP(0,データ!$A2:$I$32,4,FALSE)</f>
        <v>仮設工事</v>
      </c>
      <c r="C3" s="84">
        <f>VLOOKUP(0,データ!$A2:$I$32,5,FALSE)</f>
        <v>0</v>
      </c>
      <c r="D3" s="84">
        <f>VLOOKUP(0,データ!$A2:$I$32,6,FALSE)</f>
        <v>1</v>
      </c>
      <c r="E3" s="84" t="str">
        <f>VLOOKUP(0,データ!$A2:$I$32,7,FALSE)</f>
        <v>式</v>
      </c>
      <c r="F3" s="85">
        <f>VLOOKUP(0,データ!$A2:$I$32,8,FALSE)</f>
        <v>914151</v>
      </c>
      <c r="G3" s="85">
        <f>VLOOKUP(0,データ!$A2:$I$32,9,FALSE)</f>
        <v>625715</v>
      </c>
      <c r="H3" s="85">
        <f t="shared" ref="H3:H29" si="0">F3-G3</f>
        <v>288436</v>
      </c>
      <c r="I3" s="86">
        <f t="shared" ref="I3:I29" si="1">ROUND(H3/F3,3)</f>
        <v>0.316</v>
      </c>
      <c r="J3" s="87"/>
      <c r="L3" s="88" t="s">
        <v>102</v>
      </c>
    </row>
    <row r="4" spans="1:12" ht="16.899999999999999" customHeight="1">
      <c r="A4" s="83">
        <v>2</v>
      </c>
      <c r="B4" s="84" t="str">
        <f>VLOOKUP(0,データ!$A3:$I$32,4,FALSE)</f>
        <v>基礎工事</v>
      </c>
      <c r="C4" s="84">
        <f>VLOOKUP(0,データ!$A3:$I$32,5,FALSE)</f>
        <v>0</v>
      </c>
      <c r="D4" s="84">
        <f>VLOOKUP(0,データ!$A3:$I$32,6,FALSE)</f>
        <v>1</v>
      </c>
      <c r="E4" s="84" t="str">
        <f>VLOOKUP(0,データ!$A3:$I$32,7,FALSE)</f>
        <v>式</v>
      </c>
      <c r="F4" s="85">
        <f>VLOOKUP(0,データ!$A3:$I$32,8,FALSE)</f>
        <v>2275605</v>
      </c>
      <c r="G4" s="85">
        <f>VLOOKUP(0,データ!$A3:$I$32,9,FALSE)</f>
        <v>1588963</v>
      </c>
      <c r="H4" s="85">
        <f t="shared" si="0"/>
        <v>686642</v>
      </c>
      <c r="I4" s="86">
        <f t="shared" si="1"/>
        <v>0.30199999999999999</v>
      </c>
      <c r="J4" s="87"/>
      <c r="K4" s="88">
        <v>1</v>
      </c>
      <c r="L4" s="88" t="s">
        <v>103</v>
      </c>
    </row>
    <row r="5" spans="1:12" ht="16.899999999999999" customHeight="1">
      <c r="A5" s="83">
        <v>3</v>
      </c>
      <c r="B5" s="84" t="str">
        <f>VLOOKUP(0,データ!$A4:$I$32,4,FALSE)</f>
        <v>木工事</v>
      </c>
      <c r="C5" s="84">
        <f>VLOOKUP(0,データ!$A4:$I$32,5,FALSE)</f>
        <v>0</v>
      </c>
      <c r="D5" s="84">
        <f>VLOOKUP(0,データ!$A4:$I$32,6,FALSE)</f>
        <v>1</v>
      </c>
      <c r="E5" s="84" t="str">
        <f>VLOOKUP(0,データ!$A4:$I$32,7,FALSE)</f>
        <v>式</v>
      </c>
      <c r="F5" s="85">
        <f>VLOOKUP(0,データ!$A4:$I$32,8,FALSE)</f>
        <v>12317611</v>
      </c>
      <c r="G5" s="85">
        <f>VLOOKUP(0,データ!$A4:$I$32,9,FALSE)</f>
        <v>7910157</v>
      </c>
      <c r="H5" s="85">
        <f t="shared" si="0"/>
        <v>4407454</v>
      </c>
      <c r="I5" s="86">
        <f t="shared" si="1"/>
        <v>0.35799999999999998</v>
      </c>
      <c r="J5" s="87"/>
      <c r="K5" s="88">
        <v>2</v>
      </c>
      <c r="L5" s="88" t="s">
        <v>104</v>
      </c>
    </row>
    <row r="6" spans="1:12" ht="16.899999999999999" customHeight="1">
      <c r="A6" s="83">
        <v>4</v>
      </c>
      <c r="B6" s="84" t="str">
        <f>VLOOKUP(0,データ!$A5:$I$32,4,FALSE)</f>
        <v>断熱工事</v>
      </c>
      <c r="C6" s="84">
        <f>VLOOKUP(0,データ!$A5:$I$32,5,FALSE)</f>
        <v>0</v>
      </c>
      <c r="D6" s="84">
        <f>VLOOKUP(0,データ!$A5:$I$32,6,FALSE)</f>
        <v>1</v>
      </c>
      <c r="E6" s="84" t="str">
        <f>VLOOKUP(0,データ!$A5:$I$32,7,FALSE)</f>
        <v>式</v>
      </c>
      <c r="F6" s="85">
        <f>VLOOKUP(0,データ!$A5:$I$32,8,FALSE)</f>
        <v>1256721</v>
      </c>
      <c r="G6" s="85">
        <f>VLOOKUP(0,データ!$A5:$I$32,9,FALSE)</f>
        <v>871719</v>
      </c>
      <c r="H6" s="85">
        <f t="shared" si="0"/>
        <v>385002</v>
      </c>
      <c r="I6" s="86">
        <f t="shared" si="1"/>
        <v>0.30599999999999999</v>
      </c>
      <c r="J6" s="87"/>
      <c r="K6" s="88">
        <v>3</v>
      </c>
      <c r="L6" s="88" t="s">
        <v>105</v>
      </c>
    </row>
    <row r="7" spans="1:12" ht="16.899999999999999" customHeight="1">
      <c r="A7" s="83">
        <v>5</v>
      </c>
      <c r="B7" s="84" t="str">
        <f>VLOOKUP(0,データ!$A6:$I$32,4,FALSE)</f>
        <v>屋根工事</v>
      </c>
      <c r="C7" s="84">
        <f>VLOOKUP(0,データ!$A6:$I$32,5,FALSE)</f>
        <v>0</v>
      </c>
      <c r="D7" s="84">
        <f>VLOOKUP(0,データ!$A6:$I$32,6,FALSE)</f>
        <v>1</v>
      </c>
      <c r="E7" s="84" t="str">
        <f>VLOOKUP(0,データ!$A6:$I$32,7,FALSE)</f>
        <v>式</v>
      </c>
      <c r="F7" s="85">
        <f>VLOOKUP(0,データ!$A6:$I$32,8,FALSE)</f>
        <v>739277</v>
      </c>
      <c r="G7" s="85">
        <f>VLOOKUP(0,データ!$A6:$I$32,9,FALSE)</f>
        <v>513653</v>
      </c>
      <c r="H7" s="85">
        <f t="shared" si="0"/>
        <v>225624</v>
      </c>
      <c r="I7" s="86">
        <f t="shared" si="1"/>
        <v>0.30499999999999999</v>
      </c>
      <c r="J7" s="87"/>
      <c r="K7" s="88">
        <v>4</v>
      </c>
      <c r="L7" s="88" t="s">
        <v>106</v>
      </c>
    </row>
    <row r="8" spans="1:12" ht="16.899999999999999" customHeight="1">
      <c r="A8" s="83">
        <v>6</v>
      </c>
      <c r="B8" s="84" t="str">
        <f>VLOOKUP(0,データ!$A7:$I$32,4,FALSE)</f>
        <v>板金・樋工事</v>
      </c>
      <c r="C8" s="84">
        <f>VLOOKUP(0,データ!$A7:$I$32,5,FALSE)</f>
        <v>0</v>
      </c>
      <c r="D8" s="84">
        <f>VLOOKUP(0,データ!$A7:$I$32,6,FALSE)</f>
        <v>1</v>
      </c>
      <c r="E8" s="84" t="str">
        <f>VLOOKUP(0,データ!$A7:$I$32,7,FALSE)</f>
        <v>式</v>
      </c>
      <c r="F8" s="85">
        <f>VLOOKUP(0,データ!$A7:$I$32,8,FALSE)</f>
        <v>202780</v>
      </c>
      <c r="G8" s="85">
        <f>VLOOKUP(0,データ!$A7:$I$32,9,FALSE)</f>
        <v>141496</v>
      </c>
      <c r="H8" s="85">
        <f t="shared" si="0"/>
        <v>61284</v>
      </c>
      <c r="I8" s="86">
        <f t="shared" si="1"/>
        <v>0.30199999999999999</v>
      </c>
      <c r="J8" s="87"/>
      <c r="K8" s="88">
        <v>5</v>
      </c>
      <c r="L8" s="88" t="s">
        <v>107</v>
      </c>
    </row>
    <row r="9" spans="1:12" ht="16.899999999999999" customHeight="1">
      <c r="A9" s="83">
        <v>7</v>
      </c>
      <c r="B9" s="84" t="str">
        <f>VLOOKUP(0,データ!$A8:$I$32,4,FALSE)</f>
        <v>外部建具工事</v>
      </c>
      <c r="C9" s="84">
        <f>VLOOKUP(0,データ!$A8:$I$32,5,FALSE)</f>
        <v>0</v>
      </c>
      <c r="D9" s="84">
        <f>VLOOKUP(0,データ!$A8:$I$32,6,FALSE)</f>
        <v>1</v>
      </c>
      <c r="E9" s="84" t="str">
        <f>VLOOKUP(0,データ!$A8:$I$32,7,FALSE)</f>
        <v>式</v>
      </c>
      <c r="F9" s="85">
        <f>VLOOKUP(0,データ!$A8:$I$32,8,FALSE)</f>
        <v>981800</v>
      </c>
      <c r="G9" s="85">
        <f>VLOOKUP(0,データ!$A8:$I$32,9,FALSE)</f>
        <v>687000</v>
      </c>
      <c r="H9" s="85">
        <f t="shared" si="0"/>
        <v>294800</v>
      </c>
      <c r="I9" s="86">
        <f t="shared" si="1"/>
        <v>0.3</v>
      </c>
      <c r="J9" s="87"/>
    </row>
    <row r="10" spans="1:12" ht="16.899999999999999" customHeight="1">
      <c r="A10" s="83">
        <v>8</v>
      </c>
      <c r="B10" s="84" t="str">
        <f>VLOOKUP(0,データ!$A9:$I$32,4,FALSE)</f>
        <v>内部建具工事</v>
      </c>
      <c r="C10" s="84">
        <f>VLOOKUP(0,データ!$A9:$I$32,5,FALSE)</f>
        <v>0</v>
      </c>
      <c r="D10" s="84">
        <f>VLOOKUP(0,データ!$A9:$I$32,6,FALSE)</f>
        <v>1</v>
      </c>
      <c r="E10" s="84" t="str">
        <f>VLOOKUP(0,データ!$A9:$I$32,7,FALSE)</f>
        <v>式</v>
      </c>
      <c r="F10" s="85">
        <f>VLOOKUP(0,データ!$A9:$I$32,8,FALSE)</f>
        <v>1133700</v>
      </c>
      <c r="G10" s="85">
        <f>VLOOKUP(0,データ!$A9:$I$32,9,FALSE)</f>
        <v>792920</v>
      </c>
      <c r="H10" s="85">
        <f t="shared" si="0"/>
        <v>340780</v>
      </c>
      <c r="I10" s="86">
        <f t="shared" si="1"/>
        <v>0.30099999999999999</v>
      </c>
      <c r="J10" s="87"/>
    </row>
    <row r="11" spans="1:12" ht="16.899999999999999" customHeight="1">
      <c r="A11" s="83">
        <v>9</v>
      </c>
      <c r="B11" s="84" t="str">
        <f>VLOOKUP(0,データ!$A10:$I$32,4,FALSE)</f>
        <v>外装工事</v>
      </c>
      <c r="C11" s="84">
        <f>VLOOKUP(0,データ!$A10:$I$32,5,FALSE)</f>
        <v>0</v>
      </c>
      <c r="D11" s="84">
        <f>VLOOKUP(0,データ!$A10:$I$32,6,FALSE)</f>
        <v>1</v>
      </c>
      <c r="E11" s="84" t="str">
        <f>VLOOKUP(0,データ!$A10:$I$32,7,FALSE)</f>
        <v>式</v>
      </c>
      <c r="F11" s="85">
        <f>VLOOKUP(0,データ!$A10:$I$32,8,FALSE)</f>
        <v>2087931</v>
      </c>
      <c r="G11" s="85">
        <f>VLOOKUP(0,データ!$A10:$I$32,9,FALSE)</f>
        <v>1449077</v>
      </c>
      <c r="H11" s="85">
        <f t="shared" si="0"/>
        <v>638854</v>
      </c>
      <c r="I11" s="86">
        <f t="shared" si="1"/>
        <v>0.30599999999999999</v>
      </c>
      <c r="J11" s="87"/>
    </row>
    <row r="12" spans="1:12" ht="16.899999999999999" customHeight="1">
      <c r="A12" s="83">
        <v>10</v>
      </c>
      <c r="B12" s="84" t="str">
        <f>VLOOKUP(0,データ!$A11:$I$32,4,FALSE)</f>
        <v>左官工事</v>
      </c>
      <c r="C12" s="84">
        <f>VLOOKUP(0,データ!$A11:$I$32,5,FALSE)</f>
        <v>0</v>
      </c>
      <c r="D12" s="84">
        <f>VLOOKUP(0,データ!$A11:$I$32,6,FALSE)</f>
        <v>1</v>
      </c>
      <c r="E12" s="84" t="str">
        <f>VLOOKUP(0,データ!$A11:$I$32,7,FALSE)</f>
        <v>式</v>
      </c>
      <c r="F12" s="85">
        <f>VLOOKUP(0,データ!$A11:$I$32,8,FALSE)</f>
        <v>254156</v>
      </c>
      <c r="G12" s="85">
        <f>VLOOKUP(0,データ!$A11:$I$32,9,FALSE)</f>
        <v>176780</v>
      </c>
      <c r="H12" s="85">
        <f t="shared" si="0"/>
        <v>77376</v>
      </c>
      <c r="I12" s="86">
        <f t="shared" si="1"/>
        <v>0.30399999999999999</v>
      </c>
      <c r="J12" s="87"/>
    </row>
    <row r="13" spans="1:12" ht="16.899999999999999" customHeight="1">
      <c r="A13" s="83">
        <v>11</v>
      </c>
      <c r="B13" s="84" t="str">
        <f>VLOOKUP(0,データ!$A12:$I$32,4,FALSE)</f>
        <v>タイル工事</v>
      </c>
      <c r="C13" s="84">
        <f>VLOOKUP(0,データ!$A12:$I$32,5,FALSE)</f>
        <v>0</v>
      </c>
      <c r="D13" s="84">
        <f>VLOOKUP(0,データ!$A12:$I$32,6,FALSE)</f>
        <v>1</v>
      </c>
      <c r="E13" s="84" t="str">
        <f>VLOOKUP(0,データ!$A12:$I$32,7,FALSE)</f>
        <v>式</v>
      </c>
      <c r="F13" s="85">
        <f>VLOOKUP(0,データ!$A12:$I$32,8,FALSE)</f>
        <v>254760</v>
      </c>
      <c r="G13" s="85">
        <f>VLOOKUP(0,データ!$A12:$I$32,9,FALSE)</f>
        <v>177868</v>
      </c>
      <c r="H13" s="85">
        <f t="shared" si="0"/>
        <v>76892</v>
      </c>
      <c r="I13" s="86">
        <f t="shared" si="1"/>
        <v>0.30199999999999999</v>
      </c>
      <c r="J13" s="87"/>
    </row>
    <row r="14" spans="1:12" ht="16.899999999999999" customHeight="1">
      <c r="A14" s="83">
        <v>12</v>
      </c>
      <c r="B14" s="84" t="str">
        <f>VLOOKUP(0,データ!$A13:$I$32,4,FALSE)</f>
        <v>塗装工事</v>
      </c>
      <c r="C14" s="84">
        <f>VLOOKUP(0,データ!$A13:$I$32,5,FALSE)</f>
        <v>0</v>
      </c>
      <c r="D14" s="84">
        <f>VLOOKUP(0,データ!$A13:$I$32,6,FALSE)</f>
        <v>1</v>
      </c>
      <c r="E14" s="84" t="str">
        <f>VLOOKUP(0,データ!$A13:$I$32,7,FALSE)</f>
        <v>式</v>
      </c>
      <c r="F14" s="85">
        <f>VLOOKUP(0,データ!$A13:$I$32,8,FALSE)</f>
        <v>42900</v>
      </c>
      <c r="G14" s="85">
        <f>VLOOKUP(0,データ!$A13:$I$32,9,FALSE)</f>
        <v>30000</v>
      </c>
      <c r="H14" s="85">
        <f t="shared" si="0"/>
        <v>12900</v>
      </c>
      <c r="I14" s="86">
        <f t="shared" si="1"/>
        <v>0.30099999999999999</v>
      </c>
      <c r="J14" s="87"/>
    </row>
    <row r="15" spans="1:12" ht="16.899999999999999" customHeight="1">
      <c r="A15" s="83">
        <v>13</v>
      </c>
      <c r="B15" s="84" t="str">
        <f>VLOOKUP(0,データ!$A14:$I$32,4,FALSE)</f>
        <v>内装工事</v>
      </c>
      <c r="C15" s="84">
        <f>VLOOKUP(0,データ!$A14:$I$32,5,FALSE)</f>
        <v>0</v>
      </c>
      <c r="D15" s="84">
        <f>VLOOKUP(0,データ!$A14:$I$32,6,FALSE)</f>
        <v>1</v>
      </c>
      <c r="E15" s="84" t="str">
        <f>VLOOKUP(0,データ!$A14:$I$32,7,FALSE)</f>
        <v>式</v>
      </c>
      <c r="F15" s="85">
        <f>VLOOKUP(0,データ!$A14:$I$32,8,FALSE)</f>
        <v>896446</v>
      </c>
      <c r="G15" s="85">
        <f>VLOOKUP(0,データ!$A14:$I$32,9,FALSE)</f>
        <v>625684</v>
      </c>
      <c r="H15" s="85">
        <f t="shared" si="0"/>
        <v>270762</v>
      </c>
      <c r="I15" s="86">
        <f t="shared" si="1"/>
        <v>0.30199999999999999</v>
      </c>
      <c r="J15" s="87"/>
    </row>
    <row r="16" spans="1:12" ht="16.899999999999999" customHeight="1">
      <c r="A16" s="83">
        <v>14</v>
      </c>
      <c r="B16" s="84" t="str">
        <f>VLOOKUP(0,データ!$A15:$I$32,4,FALSE)</f>
        <v>住宅設備機器工事</v>
      </c>
      <c r="C16" s="84">
        <f>VLOOKUP(0,データ!$A15:$I$32,5,FALSE)</f>
        <v>0</v>
      </c>
      <c r="D16" s="84">
        <f>VLOOKUP(0,データ!$A15:$I$32,6,FALSE)</f>
        <v>1</v>
      </c>
      <c r="E16" s="84" t="str">
        <f>VLOOKUP(0,データ!$A15:$I$32,7,FALSE)</f>
        <v>式</v>
      </c>
      <c r="F16" s="85">
        <f>VLOOKUP(0,データ!$A15:$I$32,8,FALSE)</f>
        <v>2340500</v>
      </c>
      <c r="G16" s="85">
        <f>VLOOKUP(0,データ!$A15:$I$32,9,FALSE)</f>
        <v>1637950</v>
      </c>
      <c r="H16" s="85">
        <f t="shared" si="0"/>
        <v>702550</v>
      </c>
      <c r="I16" s="86">
        <f t="shared" si="1"/>
        <v>0.3</v>
      </c>
      <c r="J16" s="87"/>
    </row>
    <row r="17" spans="1:12" ht="16.899999999999999" customHeight="1">
      <c r="A17" s="83">
        <v>15</v>
      </c>
      <c r="B17" s="84" t="str">
        <f>VLOOKUP(0,データ!$A16:$I$32,4,FALSE)</f>
        <v>給排水設備工事</v>
      </c>
      <c r="C17" s="84">
        <f>VLOOKUP(0,データ!$A16:$I$32,5,FALSE)</f>
        <v>0</v>
      </c>
      <c r="D17" s="84">
        <f>VLOOKUP(0,データ!$A16:$I$32,6,FALSE)</f>
        <v>1</v>
      </c>
      <c r="E17" s="84" t="str">
        <f>VLOOKUP(0,データ!$A16:$I$32,7,FALSE)</f>
        <v>式</v>
      </c>
      <c r="F17" s="85">
        <f>VLOOKUP(0,データ!$A16:$I$32,8,FALSE)</f>
        <v>242900</v>
      </c>
      <c r="G17" s="85">
        <f>VLOOKUP(0,データ!$A16:$I$32,9,FALSE)</f>
        <v>170000</v>
      </c>
      <c r="H17" s="85">
        <f t="shared" si="0"/>
        <v>72900</v>
      </c>
      <c r="I17" s="86">
        <f t="shared" si="1"/>
        <v>0.3</v>
      </c>
      <c r="J17" s="87"/>
    </row>
    <row r="18" spans="1:12" ht="16.899999999999999" customHeight="1">
      <c r="A18" s="83">
        <v>16</v>
      </c>
      <c r="B18" s="84" t="str">
        <f>VLOOKUP(0,データ!$A17:$I$32,4,FALSE)</f>
        <v>電気設備工事</v>
      </c>
      <c r="C18" s="84">
        <f>VLOOKUP(0,データ!$A17:$I$32,5,FALSE)</f>
        <v>0</v>
      </c>
      <c r="D18" s="84">
        <f>VLOOKUP(0,データ!$A17:$I$32,6,FALSE)</f>
        <v>1</v>
      </c>
      <c r="E18" s="84" t="str">
        <f>VLOOKUP(0,データ!$A17:$I$32,7,FALSE)</f>
        <v>式</v>
      </c>
      <c r="F18" s="85">
        <f>VLOOKUP(0,データ!$A17:$I$32,8,FALSE)</f>
        <v>1243650</v>
      </c>
      <c r="G18" s="85">
        <f>VLOOKUP(0,データ!$A17:$I$32,9,FALSE)</f>
        <v>866060</v>
      </c>
      <c r="H18" s="85">
        <f t="shared" si="0"/>
        <v>377590</v>
      </c>
      <c r="I18" s="86">
        <f t="shared" si="1"/>
        <v>0.30399999999999999</v>
      </c>
      <c r="J18" s="87"/>
    </row>
    <row r="19" spans="1:12" ht="16.899999999999999" customHeight="1">
      <c r="A19" s="83">
        <v>17</v>
      </c>
      <c r="B19" s="84" t="str">
        <f>VLOOKUP(0,データ!$A18:$I$32,4,FALSE)</f>
        <v>換気システム工事</v>
      </c>
      <c r="C19" s="84">
        <f>VLOOKUP(0,データ!$A18:$I$32,5,FALSE)</f>
        <v>0</v>
      </c>
      <c r="D19" s="84">
        <f>VLOOKUP(0,データ!$A18:$I$32,6,FALSE)</f>
        <v>1</v>
      </c>
      <c r="E19" s="84" t="str">
        <f>VLOOKUP(0,データ!$A18:$I$32,7,FALSE)</f>
        <v>式</v>
      </c>
      <c r="F19" s="85">
        <f>VLOOKUP(0,データ!$A18:$I$32,8,FALSE)</f>
        <v>472052</v>
      </c>
      <c r="G19" s="85">
        <f>VLOOKUP(0,データ!$A18:$I$32,9,FALSE)</f>
        <v>330156</v>
      </c>
      <c r="H19" s="85">
        <f t="shared" si="0"/>
        <v>141896</v>
      </c>
      <c r="I19" s="86">
        <f t="shared" si="1"/>
        <v>0.30099999999999999</v>
      </c>
      <c r="J19" s="87"/>
    </row>
    <row r="20" spans="1:12" ht="16.899999999999999" customHeight="1">
      <c r="A20" s="83">
        <v>18</v>
      </c>
      <c r="B20" s="84" t="str">
        <f>VLOOKUP(0,データ!$A19:$I$32,4,FALSE)</f>
        <v>エアコン工事</v>
      </c>
      <c r="C20" s="84">
        <f>VLOOKUP(0,データ!$A19:$I$32,5,FALSE)</f>
        <v>0</v>
      </c>
      <c r="D20" s="84">
        <f>VLOOKUP(0,データ!$A19:$I$32,6,FALSE)</f>
        <v>1</v>
      </c>
      <c r="E20" s="84" t="str">
        <f>VLOOKUP(0,データ!$A19:$I$32,7,FALSE)</f>
        <v>式</v>
      </c>
      <c r="F20" s="85">
        <f>VLOOKUP(0,データ!$A19:$I$32,8,FALSE)</f>
        <v>351500</v>
      </c>
      <c r="G20" s="85">
        <f>VLOOKUP(0,データ!$A19:$I$32,9,FALSE)</f>
        <v>245000</v>
      </c>
      <c r="H20" s="85">
        <f t="shared" si="0"/>
        <v>106500</v>
      </c>
      <c r="I20" s="86">
        <f t="shared" si="1"/>
        <v>0.30299999999999999</v>
      </c>
      <c r="J20" s="87"/>
    </row>
    <row r="21" spans="1:12" ht="16.899999999999999" customHeight="1">
      <c r="A21" s="83">
        <v>19</v>
      </c>
      <c r="B21" s="84" t="str">
        <f>VLOOKUP(0,データ!$A20:$I$32,4,FALSE)</f>
        <v>太陽光発電システム工事</v>
      </c>
      <c r="C21" s="84">
        <f>VLOOKUP(0,データ!$A20:$I$32,5,FALSE)</f>
        <v>0</v>
      </c>
      <c r="D21" s="84">
        <f>VLOOKUP(0,データ!$A20:$I$32,6,FALSE)</f>
        <v>1</v>
      </c>
      <c r="E21" s="84" t="str">
        <f>VLOOKUP(0,データ!$A20:$I$32,7,FALSE)</f>
        <v>式</v>
      </c>
      <c r="F21" s="85">
        <f>VLOOKUP(0,データ!$A20:$I$32,8,FALSE)</f>
        <v>981700</v>
      </c>
      <c r="G21" s="85">
        <f>VLOOKUP(0,データ!$A20:$I$32,9,FALSE)</f>
        <v>687150</v>
      </c>
      <c r="H21" s="85">
        <f t="shared" si="0"/>
        <v>294550</v>
      </c>
      <c r="I21" s="86">
        <f t="shared" si="1"/>
        <v>0.3</v>
      </c>
      <c r="J21" s="87"/>
    </row>
    <row r="22" spans="1:12" ht="16.899999999999999" customHeight="1">
      <c r="A22" s="83">
        <v>20</v>
      </c>
      <c r="B22" s="84" t="str">
        <f>VLOOKUP(0,データ!$A21:$I$32,4,FALSE)</f>
        <v>造作家具工事</v>
      </c>
      <c r="C22" s="84">
        <f>VLOOKUP(0,データ!$A21:$I$32,5,FALSE)</f>
        <v>0</v>
      </c>
      <c r="D22" s="84">
        <f>VLOOKUP(0,データ!$A21:$I$32,6,FALSE)</f>
        <v>1</v>
      </c>
      <c r="E22" s="84" t="str">
        <f>VLOOKUP(0,データ!$A21:$I$32,7,FALSE)</f>
        <v>式</v>
      </c>
      <c r="F22" s="85">
        <f>VLOOKUP(0,データ!$A21:$I$32,8,FALSE)</f>
        <v>57200</v>
      </c>
      <c r="G22" s="85">
        <f>VLOOKUP(0,データ!$A21:$I$32,9,FALSE)</f>
        <v>40000</v>
      </c>
      <c r="H22" s="85">
        <f t="shared" si="0"/>
        <v>17200</v>
      </c>
      <c r="I22" s="86">
        <f t="shared" si="1"/>
        <v>0.30099999999999999</v>
      </c>
      <c r="J22" s="87"/>
    </row>
    <row r="23" spans="1:12" ht="16.899999999999999" customHeight="1">
      <c r="A23" s="83">
        <v>21</v>
      </c>
      <c r="B23" s="84" t="str">
        <f>VLOOKUP(0,データ!$A22:$I$32,4,FALSE)</f>
        <v>雑工事</v>
      </c>
      <c r="C23" s="84">
        <f>VLOOKUP(0,データ!$A22:$I$32,5,FALSE)</f>
        <v>0</v>
      </c>
      <c r="D23" s="84">
        <f>VLOOKUP(0,データ!$A22:$I$32,6,FALSE)</f>
        <v>1</v>
      </c>
      <c r="E23" s="84" t="str">
        <f>VLOOKUP(0,データ!$A22:$I$32,7,FALSE)</f>
        <v>式</v>
      </c>
      <c r="F23" s="85">
        <f>VLOOKUP(0,データ!$A22:$I$32,8,FALSE)</f>
        <v>160385</v>
      </c>
      <c r="G23" s="85">
        <f>VLOOKUP(0,データ!$A22:$I$32,9,FALSE)</f>
        <v>111543</v>
      </c>
      <c r="H23" s="85">
        <f t="shared" si="0"/>
        <v>48842</v>
      </c>
      <c r="I23" s="86">
        <f t="shared" si="1"/>
        <v>0.30499999999999999</v>
      </c>
      <c r="J23" s="87"/>
    </row>
    <row r="24" spans="1:12" ht="16.899999999999999" customHeight="1">
      <c r="A24" s="83">
        <v>22</v>
      </c>
      <c r="B24" s="185" t="s">
        <v>739</v>
      </c>
      <c r="C24" s="84">
        <f>VLOOKUP(0,データ!$A23:$I$32,5,FALSE)</f>
        <v>0</v>
      </c>
      <c r="D24" s="84">
        <f>VLOOKUP(0,データ!$A23:$I$32,6,FALSE)</f>
        <v>1</v>
      </c>
      <c r="E24" s="84">
        <f>VLOOKUP(0,データ!$A23:$I$32,7,FALSE)</f>
        <v>0</v>
      </c>
      <c r="F24" s="85">
        <f>SUM(F3:F23)*0.03-1</f>
        <v>876230.75</v>
      </c>
      <c r="G24" s="85">
        <f>SUM(G3:G23)*0.02</f>
        <v>393577.82</v>
      </c>
      <c r="H24" s="85">
        <f t="shared" si="0"/>
        <v>482652.93</v>
      </c>
      <c r="I24" s="86">
        <f t="shared" si="1"/>
        <v>0.55100000000000005</v>
      </c>
      <c r="J24" s="87"/>
    </row>
    <row r="25" spans="1:12" ht="16.899999999999999" customHeight="1">
      <c r="A25" s="83">
        <v>23</v>
      </c>
      <c r="B25" s="84" t="str">
        <f>VLOOKUP(0,データ!$A24:$I$32,4,FALSE)</f>
        <v>屋外付帯工事</v>
      </c>
      <c r="C25" s="84">
        <f>VLOOKUP(0,データ!$A24:$I$32,5,FALSE)</f>
        <v>0</v>
      </c>
      <c r="D25" s="84">
        <f>VLOOKUP(0,データ!$A24:$I$32,6,FALSE)</f>
        <v>1</v>
      </c>
      <c r="E25" s="84" t="str">
        <f>VLOOKUP(0,データ!$A24:$I$32,7,FALSE)</f>
        <v>式</v>
      </c>
      <c r="F25" s="85">
        <f>VLOOKUP(0,データ!$A24:$I$32,8,FALSE)</f>
        <v>1347250</v>
      </c>
      <c r="G25" s="85">
        <f>VLOOKUP(0,データ!$A24:$I$32,9,FALSE)</f>
        <v>927282</v>
      </c>
      <c r="H25" s="85">
        <f t="shared" si="0"/>
        <v>419968</v>
      </c>
      <c r="I25" s="86">
        <f t="shared" si="1"/>
        <v>0.312</v>
      </c>
      <c r="J25" s="87"/>
    </row>
    <row r="26" spans="1:12" ht="16.899999999999999" customHeight="1">
      <c r="A26" s="83">
        <v>24</v>
      </c>
      <c r="B26" s="84" t="str">
        <f>VLOOKUP(0,データ!$A25:$I$32,4,FALSE)</f>
        <v>諸費用</v>
      </c>
      <c r="C26" s="84">
        <f>VLOOKUP(0,データ!$A25:$I$32,5,FALSE)</f>
        <v>0</v>
      </c>
      <c r="D26" s="84">
        <f>VLOOKUP(0,データ!$A25:$I$32,6,FALSE)</f>
        <v>1</v>
      </c>
      <c r="E26" s="84" t="str">
        <f>VLOOKUP(0,データ!$A25:$I$32,7,FALSE)</f>
        <v>式</v>
      </c>
      <c r="F26" s="85">
        <f>VLOOKUP(0,データ!$A25:$I$32,8,FALSE)</f>
        <v>1270000</v>
      </c>
      <c r="G26" s="85">
        <f>VLOOKUP(0,データ!$A25:$I$32,9,FALSE)</f>
        <v>889000</v>
      </c>
      <c r="H26" s="85">
        <f t="shared" si="0"/>
        <v>381000</v>
      </c>
      <c r="I26" s="86">
        <f t="shared" si="1"/>
        <v>0.3</v>
      </c>
      <c r="J26" s="87"/>
    </row>
    <row r="27" spans="1:12" ht="16.899999999999999" customHeight="1">
      <c r="A27" s="83">
        <v>25</v>
      </c>
      <c r="B27" s="89" t="s">
        <v>109</v>
      </c>
      <c r="C27" s="84"/>
      <c r="D27" s="84"/>
      <c r="E27" s="89"/>
      <c r="F27" s="85">
        <v>-206</v>
      </c>
      <c r="G27" s="85"/>
      <c r="H27" s="85">
        <f t="shared" ref="H27" si="2">F27-G27</f>
        <v>-206</v>
      </c>
      <c r="I27" s="86">
        <f t="shared" ref="I27" si="3">ROUND(H27/F27,3)</f>
        <v>1</v>
      </c>
      <c r="J27" s="87"/>
      <c r="K27" s="105"/>
      <c r="L27" s="103" t="s">
        <v>122</v>
      </c>
    </row>
    <row r="28" spans="1:12" ht="16.899999999999999" customHeight="1">
      <c r="A28" s="83"/>
      <c r="B28" s="89" t="s">
        <v>108</v>
      </c>
      <c r="C28" s="84"/>
      <c r="D28" s="84"/>
      <c r="E28" s="89"/>
      <c r="F28" s="85">
        <f>SUM(F3:F27)</f>
        <v>32700999.75</v>
      </c>
      <c r="G28" s="85">
        <f>SUM(G3:G27)</f>
        <v>21888750.82</v>
      </c>
      <c r="H28" s="85">
        <f t="shared" si="0"/>
        <v>10812248.93</v>
      </c>
      <c r="I28" s="86">
        <f t="shared" si="1"/>
        <v>0.33100000000000002</v>
      </c>
      <c r="J28" s="87"/>
      <c r="K28" s="104" t="s">
        <v>120</v>
      </c>
      <c r="L28" s="103" t="s">
        <v>121</v>
      </c>
    </row>
    <row r="29" spans="1:12" ht="16.899999999999999" customHeight="1">
      <c r="A29" s="83"/>
      <c r="B29" s="184" t="s">
        <v>737</v>
      </c>
      <c r="C29" s="112"/>
      <c r="D29" s="84"/>
      <c r="E29" s="89"/>
      <c r="F29" s="85"/>
      <c r="G29" s="85"/>
      <c r="H29" s="85">
        <f t="shared" si="0"/>
        <v>0</v>
      </c>
      <c r="I29" s="86" t="e">
        <f t="shared" si="1"/>
        <v>#DIV/0!</v>
      </c>
      <c r="J29" s="87"/>
      <c r="K29" s="105"/>
      <c r="L29" s="103"/>
    </row>
    <row r="30" spans="1:12" ht="16.899999999999999" customHeight="1">
      <c r="A30" s="83"/>
      <c r="B30" s="184" t="s">
        <v>738</v>
      </c>
      <c r="C30" s="112"/>
      <c r="D30" s="84"/>
      <c r="E30" s="89"/>
      <c r="F30" s="85"/>
      <c r="G30" s="85">
        <v>225000</v>
      </c>
      <c r="H30" s="85">
        <f t="shared" ref="H30" si="4">F30-G30</f>
        <v>-225000</v>
      </c>
      <c r="I30" s="86" t="e">
        <f t="shared" ref="I30" si="5">ROUND(H30/F30,3)</f>
        <v>#DIV/0!</v>
      </c>
      <c r="J30" s="87"/>
      <c r="K30" s="105"/>
      <c r="L30" s="103"/>
    </row>
    <row r="31" spans="1:12" ht="16.899999999999999" customHeight="1">
      <c r="A31" s="83"/>
      <c r="B31" s="184" t="s">
        <v>1002</v>
      </c>
      <c r="C31" s="84"/>
      <c r="D31" s="84"/>
      <c r="E31" s="89"/>
      <c r="F31" s="85">
        <f>SUM(F28:F30)</f>
        <v>32700999.75</v>
      </c>
      <c r="G31" s="85">
        <f>SUM(G28:G30)</f>
        <v>22113750.82</v>
      </c>
      <c r="H31" s="85">
        <f t="shared" ref="H31" si="6">F31-G31</f>
        <v>10587248.93</v>
      </c>
      <c r="I31" s="86">
        <f t="shared" ref="I31" si="7">ROUND(H31/F31,3)</f>
        <v>0.32400000000000001</v>
      </c>
      <c r="J31" s="87"/>
    </row>
    <row r="32" spans="1:12" ht="16.899999999999999" customHeight="1" thickBot="1">
      <c r="A32" s="90"/>
      <c r="B32" s="91"/>
      <c r="C32" s="92"/>
      <c r="D32" s="92"/>
      <c r="E32" s="91"/>
      <c r="F32" s="93"/>
      <c r="G32" s="93"/>
      <c r="H32" s="93"/>
      <c r="I32" s="94"/>
      <c r="J32" s="87"/>
    </row>
    <row r="33" spans="2:21" ht="14.25" thickBot="1">
      <c r="B33" s="95"/>
      <c r="E33" s="95"/>
      <c r="L33" s="88" t="s">
        <v>110</v>
      </c>
    </row>
    <row r="34" spans="2:21">
      <c r="B34" s="95"/>
      <c r="C34" s="88" t="s">
        <v>119</v>
      </c>
      <c r="E34" s="95"/>
      <c r="K34" s="98" t="s">
        <v>111</v>
      </c>
      <c r="L34" s="177" t="s">
        <v>730</v>
      </c>
      <c r="N34" s="99" t="s">
        <v>112</v>
      </c>
      <c r="O34" s="99" t="s">
        <v>113</v>
      </c>
      <c r="P34" s="119" t="s">
        <v>152</v>
      </c>
      <c r="Q34" s="110" t="s">
        <v>135</v>
      </c>
      <c r="R34" s="110" t="s">
        <v>134</v>
      </c>
      <c r="S34" s="110" t="s">
        <v>133</v>
      </c>
      <c r="T34" s="99" t="s">
        <v>114</v>
      </c>
      <c r="U34" s="99" t="s">
        <v>115</v>
      </c>
    </row>
    <row r="35" spans="2:21">
      <c r="B35" s="95"/>
      <c r="C35" s="182" t="s">
        <v>733</v>
      </c>
      <c r="E35" s="95"/>
      <c r="K35" s="100" t="s">
        <v>116</v>
      </c>
      <c r="L35" s="173">
        <v>45939</v>
      </c>
      <c r="N35" s="260"/>
      <c r="O35" s="260"/>
      <c r="P35" s="260"/>
      <c r="Q35" s="260"/>
      <c r="R35" s="260"/>
      <c r="S35" s="260"/>
      <c r="T35" s="260"/>
      <c r="U35" s="260"/>
    </row>
    <row r="36" spans="2:21">
      <c r="B36" s="95"/>
      <c r="C36" s="183" t="s">
        <v>734</v>
      </c>
      <c r="E36" s="95"/>
      <c r="K36" s="111" t="s">
        <v>136</v>
      </c>
      <c r="L36" s="175" t="s">
        <v>731</v>
      </c>
      <c r="N36" s="260"/>
      <c r="O36" s="260"/>
      <c r="P36" s="260"/>
      <c r="Q36" s="260"/>
      <c r="R36" s="260"/>
      <c r="S36" s="260"/>
      <c r="T36" s="260"/>
      <c r="U36" s="260"/>
    </row>
    <row r="37" spans="2:21">
      <c r="B37" s="95"/>
      <c r="C37" s="182" t="s">
        <v>735</v>
      </c>
      <c r="E37" s="95"/>
      <c r="K37" s="100" t="s">
        <v>117</v>
      </c>
      <c r="L37" s="174">
        <v>0</v>
      </c>
      <c r="N37" s="260"/>
      <c r="O37" s="260"/>
      <c r="P37" s="260"/>
      <c r="Q37" s="260"/>
      <c r="R37" s="260"/>
      <c r="S37" s="260"/>
      <c r="T37" s="260"/>
      <c r="U37" s="260"/>
    </row>
    <row r="38" spans="2:21" ht="14.25" thickBot="1">
      <c r="B38" s="95"/>
      <c r="C38" s="182" t="s">
        <v>736</v>
      </c>
      <c r="E38" s="95"/>
      <c r="K38" s="101" t="s">
        <v>118</v>
      </c>
      <c r="L38" s="176" t="s">
        <v>732</v>
      </c>
      <c r="N38" s="260"/>
      <c r="O38" s="260"/>
      <c r="P38" s="260"/>
      <c r="Q38" s="260"/>
      <c r="R38" s="260"/>
      <c r="S38" s="260"/>
      <c r="T38" s="260"/>
      <c r="U38" s="260"/>
    </row>
    <row r="39" spans="2:21">
      <c r="B39" s="95"/>
      <c r="E39" s="95"/>
      <c r="M39" s="102"/>
    </row>
    <row r="40" spans="2:21">
      <c r="B40" s="95"/>
      <c r="E40" s="95"/>
    </row>
    <row r="43" spans="2:21">
      <c r="B43" s="107" t="s">
        <v>127</v>
      </c>
    </row>
    <row r="44" spans="2:21">
      <c r="B44" s="107" t="s">
        <v>125</v>
      </c>
    </row>
    <row r="45" spans="2:21">
      <c r="B45" s="107" t="s">
        <v>128</v>
      </c>
    </row>
    <row r="46" spans="2:21">
      <c r="B46" s="107" t="s">
        <v>129</v>
      </c>
    </row>
    <row r="47" spans="2:21">
      <c r="B47" s="107" t="s">
        <v>150</v>
      </c>
    </row>
    <row r="48" spans="2:21">
      <c r="B48" s="107" t="s">
        <v>151</v>
      </c>
    </row>
    <row r="49" spans="2:2">
      <c r="B49" s="107" t="s">
        <v>126</v>
      </c>
    </row>
    <row r="50" spans="2:2">
      <c r="B50" s="107" t="s">
        <v>130</v>
      </c>
    </row>
  </sheetData>
  <mergeCells count="8">
    <mergeCell ref="U35:U38"/>
    <mergeCell ref="P35:P38"/>
    <mergeCell ref="T35:T38"/>
    <mergeCell ref="S35:S38"/>
    <mergeCell ref="N35:N38"/>
    <mergeCell ref="O35:O38"/>
    <mergeCell ref="Q35:Q38"/>
    <mergeCell ref="R35:R38"/>
  </mergeCells>
  <phoneticPr fontId="4"/>
  <conditionalFormatting sqref="G1">
    <cfRule type="containsBlanks" dxfId="1" priority="2">
      <formula>LEN(TRIM(G1))=0</formula>
    </cfRule>
  </conditionalFormatting>
  <conditionalFormatting sqref="I1">
    <cfRule type="containsBlanks" dxfId="0" priority="1">
      <formula>LEN(TRIM(I1))=0</formula>
    </cfRule>
  </conditionalFormatting>
  <dataValidations count="1">
    <dataValidation type="list" allowBlank="1" sqref="I1" xr:uid="{AD23ED05-EC14-4281-B276-53DCF9804823}">
      <formula1>$B$44:$B$50</formula1>
    </dataValidation>
  </dataValidations>
  <pageMargins left="0.44" right="0.3" top="0.44" bottom="0.26" header="0.31496062992125984" footer="0.17"/>
  <pageSetup paperSize="9" scale="8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5</vt:i4>
      </vt:variant>
      <vt:variant>
        <vt:lpstr>グラフ</vt:lpstr>
      </vt:variant>
      <vt:variant>
        <vt:i4>1</vt:i4>
      </vt:variant>
      <vt:variant>
        <vt:lpstr>名前付き一覧</vt:lpstr>
      </vt:variant>
      <vt:variant>
        <vt:i4>82</vt:i4>
      </vt:variant>
    </vt:vector>
  </HeadingPairs>
  <TitlesOfParts>
    <vt:vector size="88" baseType="lpstr">
      <vt:lpstr>表紙</vt:lpstr>
      <vt:lpstr>明細書</vt:lpstr>
      <vt:lpstr>データ</vt:lpstr>
      <vt:lpstr>条件</vt:lpstr>
      <vt:lpstr>粗利表</vt:lpstr>
      <vt:lpstr>見積金額構成比率</vt:lpstr>
      <vt:lpstr>粗利表!Print_Area</vt:lpstr>
      <vt:lpstr>表紙!Print_Area</vt:lpstr>
      <vt:lpstr>明細書!Print_Titles</vt:lpstr>
      <vt:lpstr>データ計算式</vt:lpstr>
      <vt:lpstr>データ計算式数式</vt:lpstr>
      <vt:lpstr>データ計算数量</vt:lpstr>
      <vt:lpstr>データ!データ建設資機材コード</vt:lpstr>
      <vt:lpstr>データ建設資機材コード</vt:lpstr>
      <vt:lpstr>データ!データ見積単価</vt:lpstr>
      <vt:lpstr>データ見積単価</vt:lpstr>
      <vt:lpstr>データ!データ子</vt:lpstr>
      <vt:lpstr>データ子</vt:lpstr>
      <vt:lpstr>データ自動数量</vt:lpstr>
      <vt:lpstr>データ!データ親</vt:lpstr>
      <vt:lpstr>データ親</vt:lpstr>
      <vt:lpstr>データ!データ数量</vt:lpstr>
      <vt:lpstr>データ数量</vt:lpstr>
      <vt:lpstr>データ!データ単位</vt:lpstr>
      <vt:lpstr>データ単位</vt:lpstr>
      <vt:lpstr>データ!データ通</vt:lpstr>
      <vt:lpstr>データ通</vt:lpstr>
      <vt:lpstr>データ!データ定価</vt:lpstr>
      <vt:lpstr>データ定価</vt:lpstr>
      <vt:lpstr>データ!データ摘要</vt:lpstr>
      <vt:lpstr>データ摘要</vt:lpstr>
      <vt:lpstr>データ!データ発注コード</vt:lpstr>
      <vt:lpstr>データ発注コード</vt:lpstr>
      <vt:lpstr>データ!データ発注単価</vt:lpstr>
      <vt:lpstr>データ発注単価</vt:lpstr>
      <vt:lpstr>データ!データ備考</vt:lpstr>
      <vt:lpstr>データ備考</vt:lpstr>
      <vt:lpstr>データ部位</vt:lpstr>
      <vt:lpstr>データ!データ部材コード</vt:lpstr>
      <vt:lpstr>データ部材コード</vt:lpstr>
      <vt:lpstr>データ補給率</vt:lpstr>
      <vt:lpstr>データ!データ名称</vt:lpstr>
      <vt:lpstr>データ名称</vt:lpstr>
      <vt:lpstr>データ!データ要素コード</vt:lpstr>
      <vt:lpstr>データ要素コード</vt:lpstr>
      <vt:lpstr>ワークファイルパス</vt:lpstr>
      <vt:lpstr>明細書!見積金額</vt:lpstr>
      <vt:lpstr>明細書!見積数量</vt:lpstr>
      <vt:lpstr>明細書!見積単価</vt:lpstr>
      <vt:lpstr>条件延床面積</vt:lpstr>
      <vt:lpstr>条件延床面積坪</vt:lpstr>
      <vt:lpstr>条件会社FAX</vt:lpstr>
      <vt:lpstr>条件会社MAIL</vt:lpstr>
      <vt:lpstr>条件会社TEL</vt:lpstr>
      <vt:lpstr>条件会社URL</vt:lpstr>
      <vt:lpstr>条件会社事業所名</vt:lpstr>
      <vt:lpstr>条件会社住所１</vt:lpstr>
      <vt:lpstr>条件会社住所２</vt:lpstr>
      <vt:lpstr>条件会社名</vt:lpstr>
      <vt:lpstr>条件会社郵便番号</vt:lpstr>
      <vt:lpstr>条件金額まるめ</vt:lpstr>
      <vt:lpstr>条件経費行書式</vt:lpstr>
      <vt:lpstr>条件!条件見積金額合計</vt:lpstr>
      <vt:lpstr>条件見積金額合計</vt:lpstr>
      <vt:lpstr>条件工事種別</vt:lpstr>
      <vt:lpstr>条件工事場所</vt:lpstr>
      <vt:lpstr>条件!条件工事名称</vt:lpstr>
      <vt:lpstr>条件工事名称</vt:lpstr>
      <vt:lpstr>条件!条件合計書式</vt:lpstr>
      <vt:lpstr>条件合計書式</vt:lpstr>
      <vt:lpstr>条件施主氏名</vt:lpstr>
      <vt:lpstr>条件消費税</vt:lpstr>
      <vt:lpstr>条件消費税まるめ</vt:lpstr>
      <vt:lpstr>条件!条件消費税書式</vt:lpstr>
      <vt:lpstr>条件消費税書式</vt:lpstr>
      <vt:lpstr>条件!条件消費税率</vt:lpstr>
      <vt:lpstr>条件消費税率</vt:lpstr>
      <vt:lpstr>条件!条件明細数</vt:lpstr>
      <vt:lpstr>条件明細数</vt:lpstr>
      <vt:lpstr>明細書!単位</vt:lpstr>
      <vt:lpstr>明細書!摘要</vt:lpstr>
      <vt:lpstr>表紙!表紙見積金額合計</vt:lpstr>
      <vt:lpstr>表紙消費税</vt:lpstr>
      <vt:lpstr>表示工事種別</vt:lpstr>
      <vt:lpstr>表示工事場所</vt:lpstr>
      <vt:lpstr>表示工事名称</vt:lpstr>
      <vt:lpstr>部位</vt:lpstr>
      <vt:lpstr>明細書!名称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中村靖</dc:creator>
  <cp:lastModifiedBy>中村靖</cp:lastModifiedBy>
  <cp:lastPrinted>2025-10-25T07:24:27Z</cp:lastPrinted>
  <dcterms:created xsi:type="dcterms:W3CDTF">2006-01-12T04:26:30Z</dcterms:created>
  <dcterms:modified xsi:type="dcterms:W3CDTF">2025-11-20T10:18:26Z</dcterms:modified>
</cp:coreProperties>
</file>